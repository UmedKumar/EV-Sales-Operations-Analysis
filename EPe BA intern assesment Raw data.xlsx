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D:\ElectricPe – Business Analyst Internship Assignment\"/>
    </mc:Choice>
  </mc:AlternateContent>
  <xr:revisionPtr revIDLastSave="0" documentId="13_ncr:1_{7B31231D-9617-4B05-9563-4C9CBC13C76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Analysis" sheetId="2" r:id="rId2"/>
    <sheet name="Sheet3" sheetId="16" r:id="rId3"/>
  </sheets>
  <definedNames>
    <definedName name="_xlnm._FilterDatabase" localSheetId="0" hidden="1">Sheet1!$L$1:$L$1001</definedName>
    <definedName name="_xlchart.v2.0" hidden="1">Analysis!$L$23:$L$26</definedName>
    <definedName name="_xlchart.v2.1" hidden="1">Analysis!$M$22</definedName>
    <definedName name="_xlchart.v2.10" hidden="1">Analysis!$Q$23:$Q$26</definedName>
    <definedName name="_xlchart.v2.11" hidden="1">Analysis!$R$22</definedName>
    <definedName name="_xlchart.v2.12" hidden="1">Analysis!$R$23:$R$26</definedName>
    <definedName name="_xlchart.v2.13" hidden="1">Analysis!$L$41:$L$44</definedName>
    <definedName name="_xlchart.v2.14" hidden="1">Analysis!$M$40</definedName>
    <definedName name="_xlchart.v2.15" hidden="1">Analysis!$M$41:$M$44</definedName>
    <definedName name="_xlchart.v2.16" hidden="1">Analysis!$L$41:$L$44</definedName>
    <definedName name="_xlchart.v2.17" hidden="1">Analysis!$M$40</definedName>
    <definedName name="_xlchart.v2.18" hidden="1">Analysis!$M$41:$M$44</definedName>
    <definedName name="_xlchart.v2.19" hidden="1">Analysis!$L$23:$L$26</definedName>
    <definedName name="_xlchart.v2.2" hidden="1">Analysis!$M$23:$M$26</definedName>
    <definedName name="_xlchart.v2.20" hidden="1">Analysis!$M$22</definedName>
    <definedName name="_xlchart.v2.21" hidden="1">Analysis!$M$23:$M$26</definedName>
    <definedName name="_xlchart.v2.22" hidden="1">Analysis!$N$22</definedName>
    <definedName name="_xlchart.v2.23" hidden="1">Analysis!$N$23:$N$26</definedName>
    <definedName name="_xlchart.v2.24" hidden="1">Analysis!$O$22</definedName>
    <definedName name="_xlchart.v2.25" hidden="1">Analysis!$O$23:$O$26</definedName>
    <definedName name="_xlchart.v2.26" hidden="1">Analysis!$P$22</definedName>
    <definedName name="_xlchart.v2.27" hidden="1">Analysis!$P$23:$P$26</definedName>
    <definedName name="_xlchart.v2.28" hidden="1">Analysis!$Q$22</definedName>
    <definedName name="_xlchart.v2.29" hidden="1">Analysis!$Q$23:$Q$26</definedName>
    <definedName name="_xlchart.v2.3" hidden="1">Analysis!$N$22</definedName>
    <definedName name="_xlchart.v2.30" hidden="1">Analysis!$R$22</definedName>
    <definedName name="_xlchart.v2.31" hidden="1">Analysis!$R$23:$R$26</definedName>
    <definedName name="_xlchart.v2.32" hidden="1">Analysis!$L$41:$L$44</definedName>
    <definedName name="_xlchart.v2.33" hidden="1">Analysis!$M$40</definedName>
    <definedName name="_xlchart.v2.34" hidden="1">Analysis!$M$41:$M$44</definedName>
    <definedName name="_xlchart.v2.4" hidden="1">Analysis!$N$23:$N$26</definedName>
    <definedName name="_xlchart.v2.5" hidden="1">Analysis!$O$22</definedName>
    <definedName name="_xlchart.v2.6" hidden="1">Analysis!$O$23:$O$26</definedName>
    <definedName name="_xlchart.v2.7" hidden="1">Analysis!$P$22</definedName>
    <definedName name="_xlchart.v2.8" hidden="1">Analysis!$P$23:$P$26</definedName>
    <definedName name="_xlchart.v2.9" hidden="1">Analysis!$Q$22</definedName>
  </definedNames>
  <calcPr calcId="191029"/>
  <pivotCaches>
    <pivotCache cacheId="0" r:id="rId4"/>
    <pivotCache cacheId="1" r:id="rId5"/>
    <pivotCache cacheId="2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8" i="2" l="1"/>
  <c r="I7" i="2"/>
  <c r="I6" i="2"/>
  <c r="I5" i="2"/>
  <c r="H5" i="2"/>
  <c r="H6" i="2"/>
  <c r="H7" i="2"/>
  <c r="H8" i="2"/>
  <c r="H4" i="2"/>
  <c r="I4" i="2"/>
  <c r="G8" i="2"/>
  <c r="G7" i="2"/>
  <c r="G6" i="2"/>
  <c r="G5" i="2"/>
  <c r="G4" i="2"/>
  <c r="F8" i="2"/>
  <c r="F7" i="2"/>
  <c r="F4" i="2"/>
  <c r="F6" i="2"/>
  <c r="F5" i="2"/>
  <c r="N2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T6" i="1"/>
  <c r="L1001" i="1"/>
  <c r="L999" i="1"/>
  <c r="L998" i="1"/>
  <c r="L997" i="1"/>
  <c r="L996" i="1"/>
  <c r="L995" i="1"/>
  <c r="L994" i="1"/>
  <c r="L993" i="1"/>
  <c r="L992" i="1"/>
  <c r="L990" i="1"/>
  <c r="L989" i="1"/>
  <c r="L988" i="1"/>
  <c r="L987" i="1"/>
  <c r="L986" i="1"/>
  <c r="L985" i="1"/>
  <c r="L982" i="1"/>
  <c r="L981" i="1"/>
  <c r="L980" i="1"/>
  <c r="L978" i="1"/>
  <c r="L977" i="1"/>
  <c r="L976" i="1"/>
  <c r="L975" i="1"/>
  <c r="L974" i="1"/>
  <c r="L972" i="1"/>
  <c r="L971" i="1"/>
  <c r="L969" i="1"/>
  <c r="L968" i="1"/>
  <c r="L967" i="1"/>
  <c r="L966" i="1"/>
  <c r="L965" i="1"/>
  <c r="L963" i="1"/>
  <c r="L962" i="1"/>
  <c r="L960" i="1"/>
  <c r="L959" i="1"/>
  <c r="L957" i="1"/>
  <c r="L956" i="1"/>
  <c r="L955" i="1"/>
  <c r="L954" i="1"/>
  <c r="L953" i="1"/>
  <c r="L952" i="1"/>
  <c r="L951" i="1"/>
  <c r="L950" i="1"/>
  <c r="L948" i="1"/>
  <c r="L947" i="1"/>
  <c r="L946" i="1"/>
  <c r="L945" i="1"/>
  <c r="L944" i="1"/>
  <c r="L943" i="1"/>
  <c r="L942" i="1"/>
  <c r="L940" i="1"/>
  <c r="L938" i="1"/>
  <c r="L937" i="1"/>
  <c r="L936" i="1"/>
  <c r="L935" i="1"/>
  <c r="L934" i="1"/>
  <c r="L933" i="1"/>
  <c r="L932" i="1"/>
  <c r="L931" i="1"/>
  <c r="L930" i="1"/>
  <c r="L929" i="1"/>
  <c r="L928" i="1"/>
  <c r="L927" i="1"/>
  <c r="L926" i="1"/>
  <c r="L925" i="1"/>
  <c r="L924" i="1"/>
  <c r="L922" i="1"/>
  <c r="L921" i="1"/>
  <c r="L920" i="1"/>
  <c r="L919" i="1"/>
  <c r="L918" i="1"/>
  <c r="L917" i="1"/>
  <c r="L916" i="1"/>
  <c r="L915" i="1"/>
  <c r="L914" i="1"/>
  <c r="L913" i="1"/>
  <c r="L912" i="1"/>
  <c r="L911" i="1"/>
  <c r="L910" i="1"/>
  <c r="L909" i="1"/>
  <c r="L908" i="1"/>
  <c r="L907" i="1"/>
  <c r="L905" i="1"/>
  <c r="L904" i="1"/>
  <c r="L903" i="1"/>
  <c r="L902" i="1"/>
  <c r="L901" i="1"/>
  <c r="L897" i="1"/>
  <c r="L896" i="1"/>
  <c r="L895" i="1"/>
  <c r="L894" i="1"/>
  <c r="L893" i="1"/>
  <c r="L891" i="1"/>
  <c r="L890" i="1"/>
  <c r="L889" i="1"/>
  <c r="L887" i="1"/>
  <c r="L886" i="1"/>
  <c r="L884" i="1"/>
  <c r="L882" i="1"/>
  <c r="L881" i="1"/>
  <c r="L880" i="1"/>
  <c r="L878" i="1"/>
  <c r="L877" i="1"/>
  <c r="L876" i="1"/>
  <c r="L875" i="1"/>
  <c r="L874" i="1"/>
  <c r="L873" i="1"/>
  <c r="L872" i="1"/>
  <c r="L871" i="1"/>
  <c r="L870" i="1"/>
  <c r="L869" i="1"/>
  <c r="L868" i="1"/>
  <c r="L866" i="1"/>
  <c r="L865" i="1"/>
  <c r="L864" i="1"/>
  <c r="L863" i="1"/>
  <c r="L862" i="1"/>
  <c r="L861" i="1"/>
  <c r="L860" i="1"/>
  <c r="L859" i="1"/>
  <c r="L858" i="1"/>
  <c r="L857" i="1"/>
  <c r="L856" i="1"/>
  <c r="L855" i="1"/>
  <c r="L853" i="1"/>
  <c r="L852" i="1"/>
  <c r="L851" i="1"/>
  <c r="L850" i="1"/>
  <c r="L848" i="1"/>
  <c r="L847" i="1"/>
  <c r="L845" i="1"/>
  <c r="L844" i="1"/>
  <c r="L843" i="1"/>
  <c r="L841" i="1"/>
  <c r="L840" i="1"/>
  <c r="L839" i="1"/>
  <c r="L838" i="1"/>
  <c r="L837" i="1"/>
  <c r="L836" i="1"/>
  <c r="L835" i="1"/>
  <c r="L834" i="1"/>
  <c r="L833" i="1"/>
  <c r="L832" i="1"/>
  <c r="L831" i="1"/>
  <c r="L830" i="1"/>
  <c r="L828" i="1"/>
  <c r="L827" i="1"/>
  <c r="L826" i="1"/>
  <c r="L825" i="1"/>
  <c r="L824" i="1"/>
  <c r="L822" i="1"/>
  <c r="L820" i="1"/>
  <c r="L819" i="1"/>
  <c r="L818" i="1"/>
  <c r="L817" i="1"/>
  <c r="L816" i="1"/>
  <c r="L814" i="1"/>
  <c r="L813" i="1"/>
  <c r="L811" i="1"/>
  <c r="L810" i="1"/>
  <c r="L809" i="1"/>
  <c r="L808" i="1"/>
  <c r="L806" i="1"/>
  <c r="L805" i="1"/>
  <c r="L804" i="1"/>
  <c r="L803" i="1"/>
  <c r="L799" i="1"/>
  <c r="L798" i="1"/>
  <c r="L797" i="1"/>
  <c r="L796" i="1"/>
  <c r="L795" i="1"/>
  <c r="L793" i="1"/>
  <c r="L792" i="1"/>
  <c r="L791" i="1"/>
  <c r="L790" i="1"/>
  <c r="L789" i="1"/>
  <c r="L787" i="1"/>
  <c r="L785" i="1"/>
  <c r="L783" i="1"/>
  <c r="L782" i="1"/>
  <c r="L781" i="1"/>
  <c r="L780" i="1"/>
  <c r="L778" i="1"/>
  <c r="L777" i="1"/>
  <c r="L775" i="1"/>
  <c r="L774" i="1"/>
  <c r="L771" i="1"/>
  <c r="L770" i="1"/>
  <c r="L769" i="1"/>
  <c r="L767" i="1"/>
  <c r="L765" i="1"/>
  <c r="L763" i="1"/>
  <c r="L762" i="1"/>
  <c r="L760" i="1"/>
  <c r="L759" i="1"/>
  <c r="L758" i="1"/>
  <c r="L757" i="1"/>
  <c r="L756" i="1"/>
  <c r="L755" i="1"/>
  <c r="L754" i="1"/>
  <c r="L753" i="1"/>
  <c r="L752" i="1"/>
  <c r="L751" i="1"/>
  <c r="L750" i="1"/>
  <c r="L748" i="1"/>
  <c r="L747" i="1"/>
  <c r="L746" i="1"/>
  <c r="L745" i="1"/>
  <c r="L744" i="1"/>
  <c r="L743" i="1"/>
  <c r="L742" i="1"/>
  <c r="L741" i="1"/>
  <c r="L740" i="1"/>
  <c r="L738" i="1"/>
  <c r="L737" i="1"/>
  <c r="L736" i="1"/>
  <c r="L735" i="1"/>
  <c r="L734" i="1"/>
  <c r="L733" i="1"/>
  <c r="L732" i="1"/>
  <c r="L731" i="1"/>
  <c r="L730" i="1"/>
  <c r="L728" i="1"/>
  <c r="L727" i="1"/>
  <c r="L726" i="1"/>
  <c r="L725" i="1"/>
  <c r="L724" i="1"/>
  <c r="L723" i="1"/>
  <c r="L722" i="1"/>
  <c r="L721" i="1"/>
  <c r="L720" i="1"/>
  <c r="L719" i="1"/>
  <c r="L718" i="1"/>
  <c r="L717" i="1"/>
  <c r="L716" i="1"/>
  <c r="L715" i="1"/>
  <c r="L714" i="1"/>
  <c r="L713" i="1"/>
  <c r="L712" i="1"/>
  <c r="L711" i="1"/>
  <c r="L710" i="1"/>
  <c r="L709" i="1"/>
  <c r="L708" i="1"/>
  <c r="L707" i="1"/>
  <c r="L706" i="1"/>
  <c r="L705" i="1"/>
  <c r="L704" i="1"/>
  <c r="L703" i="1"/>
  <c r="L701" i="1"/>
  <c r="L698" i="1"/>
  <c r="L697" i="1"/>
  <c r="L696" i="1"/>
  <c r="L695" i="1"/>
  <c r="L694" i="1"/>
  <c r="L693" i="1"/>
  <c r="L692" i="1"/>
  <c r="L691" i="1"/>
  <c r="L690" i="1"/>
  <c r="L687" i="1"/>
  <c r="L684" i="1"/>
  <c r="L683" i="1"/>
  <c r="L682" i="1"/>
  <c r="L681" i="1"/>
  <c r="L680" i="1"/>
  <c r="L678" i="1"/>
  <c r="L676" i="1"/>
  <c r="L675" i="1"/>
  <c r="L674" i="1"/>
  <c r="L673" i="1"/>
  <c r="L671" i="1"/>
  <c r="L670" i="1"/>
  <c r="L669" i="1"/>
  <c r="L668" i="1"/>
  <c r="L667" i="1"/>
  <c r="L666" i="1"/>
  <c r="L665" i="1"/>
  <c r="L664" i="1"/>
  <c r="L663" i="1"/>
  <c r="L662" i="1"/>
  <c r="L661" i="1"/>
  <c r="L660" i="1"/>
  <c r="L659" i="1"/>
  <c r="L658" i="1"/>
  <c r="L655" i="1"/>
  <c r="L653" i="1"/>
  <c r="L652" i="1"/>
  <c r="L651" i="1"/>
  <c r="L650" i="1"/>
  <c r="L649" i="1"/>
  <c r="L648" i="1"/>
  <c r="L647" i="1"/>
  <c r="L646" i="1"/>
  <c r="L645" i="1"/>
  <c r="L644" i="1"/>
  <c r="L643" i="1"/>
  <c r="L641" i="1"/>
  <c r="L640" i="1"/>
  <c r="L639" i="1"/>
  <c r="L638" i="1"/>
  <c r="L637" i="1"/>
  <c r="L636" i="1"/>
  <c r="L635" i="1"/>
  <c r="L634" i="1"/>
  <c r="L632" i="1"/>
  <c r="L631" i="1"/>
  <c r="L630" i="1"/>
  <c r="L628" i="1"/>
  <c r="L627" i="1"/>
  <c r="L625" i="1"/>
  <c r="L624" i="1"/>
  <c r="L623" i="1"/>
  <c r="L622" i="1"/>
  <c r="L621" i="1"/>
  <c r="L619" i="1"/>
  <c r="L618" i="1"/>
  <c r="L617" i="1"/>
  <c r="L616" i="1"/>
  <c r="L614" i="1"/>
  <c r="L613" i="1"/>
  <c r="L612" i="1"/>
  <c r="L611" i="1"/>
  <c r="L610" i="1"/>
  <c r="L609" i="1"/>
  <c r="L608" i="1"/>
  <c r="L607" i="1"/>
  <c r="L606" i="1"/>
  <c r="L605" i="1"/>
  <c r="L604" i="1"/>
  <c r="L603" i="1"/>
  <c r="L601" i="1"/>
  <c r="L600" i="1"/>
  <c r="L599" i="1"/>
  <c r="L598" i="1"/>
  <c r="L597" i="1"/>
  <c r="L596" i="1"/>
  <c r="L595" i="1"/>
  <c r="L594" i="1"/>
  <c r="L593" i="1"/>
  <c r="L591" i="1"/>
  <c r="L590" i="1"/>
  <c r="L588" i="1"/>
  <c r="L587" i="1"/>
  <c r="L586" i="1"/>
  <c r="L585" i="1"/>
  <c r="L584" i="1"/>
  <c r="L583" i="1"/>
  <c r="L582" i="1"/>
  <c r="L581" i="1"/>
  <c r="L580" i="1"/>
  <c r="L579" i="1"/>
  <c r="L578" i="1"/>
  <c r="L577" i="1"/>
  <c r="L576" i="1"/>
  <c r="L575" i="1"/>
  <c r="L574" i="1"/>
  <c r="L573" i="1"/>
  <c r="L572" i="1"/>
  <c r="L571" i="1"/>
  <c r="L570" i="1"/>
  <c r="L568" i="1"/>
  <c r="L567" i="1"/>
  <c r="L566" i="1"/>
  <c r="L565" i="1"/>
  <c r="L564" i="1"/>
  <c r="L562" i="1"/>
  <c r="L560" i="1"/>
  <c r="L559" i="1"/>
  <c r="L558" i="1"/>
  <c r="L557" i="1"/>
  <c r="L556" i="1"/>
  <c r="L554" i="1"/>
  <c r="L553" i="1"/>
  <c r="L552" i="1"/>
  <c r="L551" i="1"/>
  <c r="L550" i="1"/>
  <c r="L549" i="1"/>
  <c r="L548" i="1"/>
  <c r="L547" i="1"/>
  <c r="L546" i="1"/>
  <c r="L545" i="1"/>
  <c r="L544" i="1"/>
  <c r="L542" i="1"/>
  <c r="L541" i="1"/>
  <c r="L539" i="1"/>
  <c r="L538" i="1"/>
  <c r="L537" i="1"/>
  <c r="L536" i="1"/>
  <c r="L535" i="1"/>
  <c r="L533" i="1"/>
  <c r="L532" i="1"/>
  <c r="L529" i="1"/>
  <c r="L528" i="1"/>
  <c r="L527" i="1"/>
  <c r="L526" i="1"/>
  <c r="L525" i="1"/>
  <c r="L523" i="1"/>
  <c r="L522" i="1"/>
  <c r="L521" i="1"/>
  <c r="L520" i="1"/>
  <c r="L519" i="1"/>
  <c r="L518" i="1"/>
  <c r="L517" i="1"/>
  <c r="L516" i="1"/>
  <c r="L515" i="1"/>
  <c r="L513" i="1"/>
  <c r="L511" i="1"/>
  <c r="L509" i="1"/>
  <c r="L508" i="1"/>
  <c r="L507" i="1"/>
  <c r="L506" i="1"/>
  <c r="L505" i="1"/>
  <c r="L504" i="1"/>
  <c r="L503" i="1"/>
  <c r="L502" i="1"/>
  <c r="L501" i="1"/>
  <c r="L500" i="1"/>
  <c r="L495" i="1"/>
  <c r="L494" i="1"/>
  <c r="L493" i="1"/>
  <c r="L492" i="1"/>
  <c r="L491" i="1"/>
  <c r="L490" i="1"/>
  <c r="L489" i="1"/>
  <c r="L488" i="1"/>
  <c r="L487" i="1"/>
  <c r="L486" i="1"/>
  <c r="L485" i="1"/>
  <c r="L484" i="1"/>
  <c r="L483" i="1"/>
  <c r="L482" i="1"/>
  <c r="L481" i="1"/>
  <c r="L480" i="1"/>
  <c r="L479" i="1"/>
  <c r="L478" i="1"/>
  <c r="L477" i="1"/>
  <c r="L475" i="1"/>
  <c r="L472" i="1"/>
  <c r="L470" i="1"/>
  <c r="L469" i="1"/>
  <c r="L468" i="1"/>
  <c r="L467" i="1"/>
  <c r="L466" i="1"/>
  <c r="L465" i="1"/>
  <c r="L462" i="1"/>
  <c r="L461" i="1"/>
  <c r="L460" i="1"/>
  <c r="L459" i="1"/>
  <c r="L458" i="1"/>
  <c r="L457" i="1"/>
  <c r="L454" i="1"/>
  <c r="L452" i="1"/>
  <c r="L451" i="1"/>
  <c r="L450" i="1"/>
  <c r="L447" i="1"/>
  <c r="L446" i="1"/>
  <c r="L445" i="1"/>
  <c r="L443" i="1"/>
  <c r="L442" i="1"/>
  <c r="L440" i="1"/>
  <c r="L439" i="1"/>
  <c r="L438" i="1"/>
  <c r="L437" i="1"/>
  <c r="L436" i="1"/>
  <c r="L435" i="1"/>
  <c r="L433" i="1"/>
  <c r="L432" i="1"/>
  <c r="L431" i="1"/>
  <c r="L430" i="1"/>
  <c r="L429" i="1"/>
  <c r="L428" i="1"/>
  <c r="L427" i="1"/>
  <c r="L426" i="1"/>
  <c r="L424" i="1"/>
  <c r="L423" i="1"/>
  <c r="L422" i="1"/>
  <c r="L421" i="1"/>
  <c r="L420" i="1"/>
  <c r="L419" i="1"/>
  <c r="L418" i="1"/>
  <c r="L417" i="1"/>
  <c r="L416" i="1"/>
  <c r="L415" i="1"/>
  <c r="L414" i="1"/>
  <c r="L413" i="1"/>
  <c r="L412" i="1"/>
  <c r="L411" i="1"/>
  <c r="L410" i="1"/>
  <c r="L408" i="1"/>
  <c r="L407" i="1"/>
  <c r="L406" i="1"/>
  <c r="L404" i="1"/>
  <c r="L403" i="1"/>
  <c r="L402" i="1"/>
  <c r="L401" i="1"/>
  <c r="L400" i="1"/>
  <c r="L399" i="1"/>
  <c r="L398" i="1"/>
  <c r="L397" i="1"/>
  <c r="L396" i="1"/>
  <c r="L394" i="1"/>
  <c r="L393" i="1"/>
  <c r="L392" i="1"/>
  <c r="L391" i="1"/>
  <c r="L390" i="1"/>
  <c r="L389" i="1"/>
  <c r="L388" i="1"/>
  <c r="L386" i="1"/>
  <c r="L385" i="1"/>
  <c r="L384" i="1"/>
  <c r="L383" i="1"/>
  <c r="L382" i="1"/>
  <c r="L381" i="1"/>
  <c r="L379" i="1"/>
  <c r="L378" i="1"/>
  <c r="L377" i="1"/>
  <c r="L376" i="1"/>
  <c r="L375" i="1"/>
  <c r="L374" i="1"/>
  <c r="L373" i="1"/>
  <c r="L372" i="1"/>
  <c r="L371" i="1"/>
  <c r="L370" i="1"/>
  <c r="L369" i="1"/>
  <c r="L368" i="1"/>
  <c r="L367" i="1"/>
  <c r="L366" i="1"/>
  <c r="L365" i="1"/>
  <c r="L364" i="1"/>
  <c r="L363" i="1"/>
  <c r="L362" i="1"/>
  <c r="L361" i="1"/>
  <c r="L359" i="1"/>
  <c r="L358" i="1"/>
  <c r="L357" i="1"/>
  <c r="L356" i="1"/>
  <c r="L354" i="1"/>
  <c r="L353" i="1"/>
  <c r="L352" i="1"/>
  <c r="L351" i="1"/>
  <c r="L350" i="1"/>
  <c r="L349" i="1"/>
  <c r="L348" i="1"/>
  <c r="L347" i="1"/>
  <c r="L346" i="1"/>
  <c r="L345" i="1"/>
  <c r="L344" i="1"/>
  <c r="L343" i="1"/>
  <c r="L342" i="1"/>
  <c r="L340" i="1"/>
  <c r="L338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2" i="1"/>
  <c r="L321" i="1"/>
  <c r="L320" i="1"/>
  <c r="L319" i="1"/>
  <c r="L318" i="1"/>
  <c r="L317" i="1"/>
  <c r="L316" i="1"/>
  <c r="L315" i="1"/>
  <c r="L314" i="1"/>
  <c r="L313" i="1"/>
  <c r="L312" i="1"/>
  <c r="L311" i="1"/>
  <c r="L310" i="1"/>
  <c r="L309" i="1"/>
  <c r="L308" i="1"/>
  <c r="L307" i="1"/>
  <c r="L306" i="1"/>
  <c r="L305" i="1"/>
  <c r="L304" i="1"/>
  <c r="L303" i="1"/>
  <c r="L300" i="1"/>
  <c r="L299" i="1"/>
  <c r="L298" i="1"/>
  <c r="L297" i="1"/>
  <c r="L295" i="1"/>
  <c r="L293" i="1"/>
  <c r="L292" i="1"/>
  <c r="L290" i="1"/>
  <c r="L289" i="1"/>
  <c r="L287" i="1"/>
  <c r="L286" i="1"/>
  <c r="L284" i="1"/>
  <c r="L282" i="1"/>
  <c r="L281" i="1"/>
  <c r="L279" i="1"/>
  <c r="L278" i="1"/>
  <c r="L277" i="1"/>
  <c r="L276" i="1"/>
  <c r="L275" i="1"/>
  <c r="L274" i="1"/>
  <c r="L273" i="1"/>
  <c r="L272" i="1"/>
  <c r="L271" i="1"/>
  <c r="L270" i="1"/>
  <c r="L267" i="1"/>
  <c r="L266" i="1"/>
  <c r="L265" i="1"/>
  <c r="L263" i="1"/>
  <c r="L262" i="1"/>
  <c r="L261" i="1"/>
  <c r="L260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29" i="1"/>
  <c r="L228" i="1"/>
  <c r="L227" i="1"/>
  <c r="L226" i="1"/>
  <c r="L225" i="1"/>
  <c r="L224" i="1"/>
  <c r="L223" i="1"/>
  <c r="L219" i="1"/>
  <c r="L218" i="1"/>
  <c r="L215" i="1"/>
  <c r="L214" i="1"/>
  <c r="L213" i="1"/>
  <c r="L211" i="1"/>
  <c r="L209" i="1"/>
  <c r="L207" i="1"/>
  <c r="L205" i="1"/>
  <c r="L204" i="1"/>
  <c r="L203" i="1"/>
  <c r="L202" i="1"/>
  <c r="L200" i="1"/>
  <c r="L198" i="1"/>
  <c r="L197" i="1"/>
  <c r="L196" i="1"/>
  <c r="L195" i="1"/>
  <c r="L194" i="1"/>
  <c r="L193" i="1"/>
  <c r="L190" i="1"/>
  <c r="L189" i="1"/>
  <c r="L188" i="1"/>
  <c r="L187" i="1"/>
  <c r="L186" i="1"/>
  <c r="L185" i="1"/>
  <c r="L183" i="1"/>
  <c r="L182" i="1"/>
  <c r="L181" i="1"/>
  <c r="L180" i="1"/>
  <c r="L179" i="1"/>
  <c r="L178" i="1"/>
  <c r="L176" i="1"/>
  <c r="L175" i="1"/>
  <c r="L174" i="1"/>
  <c r="L173" i="1"/>
  <c r="L171" i="1"/>
  <c r="L170" i="1"/>
  <c r="L169" i="1"/>
  <c r="L168" i="1"/>
  <c r="L167" i="1"/>
  <c r="L166" i="1"/>
  <c r="L165" i="1"/>
  <c r="L164" i="1"/>
  <c r="L163" i="1"/>
  <c r="L162" i="1"/>
  <c r="L161" i="1"/>
  <c r="L159" i="1"/>
  <c r="L157" i="1"/>
  <c r="L155" i="1"/>
  <c r="L152" i="1"/>
  <c r="L151" i="1"/>
  <c r="L150" i="1"/>
  <c r="L148" i="1"/>
  <c r="L147" i="1"/>
  <c r="L146" i="1"/>
  <c r="L145" i="1"/>
  <c r="L144" i="1"/>
  <c r="L142" i="1"/>
  <c r="L141" i="1"/>
  <c r="L139" i="1"/>
  <c r="L138" i="1"/>
  <c r="L137" i="1"/>
  <c r="L135" i="1"/>
  <c r="L133" i="1"/>
  <c r="L130" i="1"/>
  <c r="L128" i="1"/>
  <c r="L127" i="1"/>
  <c r="L126" i="1"/>
  <c r="L125" i="1"/>
  <c r="L124" i="1"/>
  <c r="L123" i="1"/>
  <c r="L122" i="1"/>
  <c r="L120" i="1"/>
  <c r="L119" i="1"/>
  <c r="L117" i="1"/>
  <c r="L116" i="1"/>
  <c r="L115" i="1"/>
  <c r="L114" i="1"/>
  <c r="L113" i="1"/>
  <c r="L110" i="1"/>
  <c r="L109" i="1"/>
  <c r="L108" i="1"/>
  <c r="L107" i="1"/>
  <c r="L104" i="1"/>
  <c r="L103" i="1"/>
  <c r="L102" i="1"/>
  <c r="L101" i="1"/>
  <c r="L100" i="1"/>
  <c r="L99" i="1"/>
  <c r="L98" i="1"/>
  <c r="L97" i="1"/>
  <c r="L93" i="1"/>
  <c r="L92" i="1"/>
  <c r="L91" i="1"/>
  <c r="L90" i="1"/>
  <c r="L88" i="1"/>
  <c r="L86" i="1"/>
  <c r="L85" i="1"/>
  <c r="L84" i="1"/>
  <c r="L81" i="1"/>
  <c r="L78" i="1"/>
  <c r="L77" i="1"/>
  <c r="L76" i="1"/>
  <c r="L74" i="1"/>
  <c r="L73" i="1"/>
  <c r="L72" i="1"/>
  <c r="L71" i="1"/>
  <c r="L69" i="1"/>
  <c r="L68" i="1"/>
  <c r="L67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8" i="1"/>
  <c r="L47" i="1"/>
  <c r="L46" i="1"/>
  <c r="L44" i="1"/>
  <c r="L43" i="1"/>
  <c r="L41" i="1"/>
  <c r="L40" i="1"/>
  <c r="L39" i="1"/>
  <c r="L38" i="1"/>
  <c r="L37" i="1"/>
  <c r="L35" i="1"/>
  <c r="L34" i="1"/>
  <c r="L33" i="1"/>
  <c r="L32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1" i="1"/>
  <c r="L10" i="1"/>
  <c r="L9" i="1"/>
  <c r="L8" i="1"/>
  <c r="L7" i="1"/>
  <c r="L6" i="1"/>
  <c r="L3" i="1"/>
  <c r="L2" i="1"/>
  <c r="N1001" i="1"/>
  <c r="M1001" i="1"/>
  <c r="N1000" i="1"/>
  <c r="M1000" i="1"/>
  <c r="N999" i="1"/>
  <c r="M999" i="1"/>
  <c r="N998" i="1"/>
  <c r="M998" i="1"/>
  <c r="N997" i="1"/>
  <c r="M997" i="1"/>
  <c r="N996" i="1"/>
  <c r="M996" i="1"/>
  <c r="N995" i="1"/>
  <c r="M995" i="1"/>
  <c r="N994" i="1"/>
  <c r="M994" i="1"/>
  <c r="N993" i="1"/>
  <c r="M993" i="1"/>
  <c r="N992" i="1"/>
  <c r="M992" i="1"/>
  <c r="N991" i="1"/>
  <c r="M991" i="1"/>
  <c r="N990" i="1"/>
  <c r="M990" i="1"/>
  <c r="N989" i="1"/>
  <c r="M989" i="1"/>
  <c r="N988" i="1"/>
  <c r="M988" i="1"/>
  <c r="N987" i="1"/>
  <c r="M987" i="1"/>
  <c r="N986" i="1"/>
  <c r="M986" i="1"/>
  <c r="N985" i="1"/>
  <c r="M985" i="1"/>
  <c r="N984" i="1"/>
  <c r="M984" i="1"/>
  <c r="N983" i="1"/>
  <c r="M983" i="1"/>
  <c r="N982" i="1"/>
  <c r="M982" i="1"/>
  <c r="N981" i="1"/>
  <c r="M981" i="1"/>
  <c r="N980" i="1"/>
  <c r="M980" i="1"/>
  <c r="N979" i="1"/>
  <c r="M979" i="1"/>
  <c r="N978" i="1"/>
  <c r="M978" i="1"/>
  <c r="N977" i="1"/>
  <c r="M977" i="1"/>
  <c r="N976" i="1"/>
  <c r="M976" i="1"/>
  <c r="N975" i="1"/>
  <c r="M975" i="1"/>
  <c r="N974" i="1"/>
  <c r="M974" i="1"/>
  <c r="N973" i="1"/>
  <c r="M973" i="1"/>
  <c r="N972" i="1"/>
  <c r="M972" i="1"/>
  <c r="N971" i="1"/>
  <c r="M971" i="1"/>
  <c r="N970" i="1"/>
  <c r="M970" i="1"/>
  <c r="N969" i="1"/>
  <c r="M969" i="1"/>
  <c r="N968" i="1"/>
  <c r="M968" i="1"/>
  <c r="N967" i="1"/>
  <c r="M967" i="1"/>
  <c r="N966" i="1"/>
  <c r="M966" i="1"/>
  <c r="N965" i="1"/>
  <c r="M965" i="1"/>
  <c r="N964" i="1"/>
  <c r="M964" i="1"/>
  <c r="N963" i="1"/>
  <c r="M963" i="1"/>
  <c r="N962" i="1"/>
  <c r="M962" i="1"/>
  <c r="N961" i="1"/>
  <c r="M961" i="1"/>
  <c r="N960" i="1"/>
  <c r="M960" i="1"/>
  <c r="N959" i="1"/>
  <c r="M959" i="1"/>
  <c r="N958" i="1"/>
  <c r="M958" i="1"/>
  <c r="N957" i="1"/>
  <c r="M957" i="1"/>
  <c r="N956" i="1"/>
  <c r="M956" i="1"/>
  <c r="N955" i="1"/>
  <c r="M955" i="1"/>
  <c r="N954" i="1"/>
  <c r="M954" i="1"/>
  <c r="N953" i="1"/>
  <c r="M953" i="1"/>
  <c r="N952" i="1"/>
  <c r="M952" i="1"/>
  <c r="N951" i="1"/>
  <c r="M951" i="1"/>
  <c r="N950" i="1"/>
  <c r="M950" i="1"/>
  <c r="N949" i="1"/>
  <c r="M949" i="1"/>
  <c r="N948" i="1"/>
  <c r="M948" i="1"/>
  <c r="N947" i="1"/>
  <c r="M947" i="1"/>
  <c r="N946" i="1"/>
  <c r="M946" i="1"/>
  <c r="N945" i="1"/>
  <c r="M945" i="1"/>
  <c r="N944" i="1"/>
  <c r="M944" i="1"/>
  <c r="N943" i="1"/>
  <c r="M943" i="1"/>
  <c r="N942" i="1"/>
  <c r="M942" i="1"/>
  <c r="N941" i="1"/>
  <c r="M941" i="1"/>
  <c r="N940" i="1"/>
  <c r="M940" i="1"/>
  <c r="N939" i="1"/>
  <c r="M939" i="1"/>
  <c r="N938" i="1"/>
  <c r="M938" i="1"/>
  <c r="N937" i="1"/>
  <c r="M937" i="1"/>
  <c r="N936" i="1"/>
  <c r="M936" i="1"/>
  <c r="N935" i="1"/>
  <c r="M935" i="1"/>
  <c r="N934" i="1"/>
  <c r="M934" i="1"/>
  <c r="N933" i="1"/>
  <c r="M933" i="1"/>
  <c r="N932" i="1"/>
  <c r="M932" i="1"/>
  <c r="N931" i="1"/>
  <c r="M931" i="1"/>
  <c r="N930" i="1"/>
  <c r="M930" i="1"/>
  <c r="N929" i="1"/>
  <c r="M929" i="1"/>
  <c r="N928" i="1"/>
  <c r="M928" i="1"/>
  <c r="N927" i="1"/>
  <c r="M927" i="1"/>
  <c r="N926" i="1"/>
  <c r="M926" i="1"/>
  <c r="N925" i="1"/>
  <c r="M925" i="1"/>
  <c r="N924" i="1"/>
  <c r="M924" i="1"/>
  <c r="N923" i="1"/>
  <c r="M923" i="1"/>
  <c r="N922" i="1"/>
  <c r="M922" i="1"/>
  <c r="N921" i="1"/>
  <c r="M921" i="1"/>
  <c r="N920" i="1"/>
  <c r="M920" i="1"/>
  <c r="N919" i="1"/>
  <c r="M919" i="1"/>
  <c r="N918" i="1"/>
  <c r="M918" i="1"/>
  <c r="N917" i="1"/>
  <c r="M917" i="1"/>
  <c r="N916" i="1"/>
  <c r="M916" i="1"/>
  <c r="N915" i="1"/>
  <c r="M915" i="1"/>
  <c r="N914" i="1"/>
  <c r="M914" i="1"/>
  <c r="N913" i="1"/>
  <c r="M913" i="1"/>
  <c r="N912" i="1"/>
  <c r="M912" i="1"/>
  <c r="N911" i="1"/>
  <c r="M911" i="1"/>
  <c r="N910" i="1"/>
  <c r="M910" i="1"/>
  <c r="N909" i="1"/>
  <c r="M909" i="1"/>
  <c r="N908" i="1"/>
  <c r="M908" i="1"/>
  <c r="N907" i="1"/>
  <c r="M907" i="1"/>
  <c r="N906" i="1"/>
  <c r="M906" i="1"/>
  <c r="N905" i="1"/>
  <c r="M905" i="1"/>
  <c r="N904" i="1"/>
  <c r="M904" i="1"/>
  <c r="N903" i="1"/>
  <c r="M903" i="1"/>
  <c r="N902" i="1"/>
  <c r="M902" i="1"/>
  <c r="N901" i="1"/>
  <c r="M901" i="1"/>
  <c r="N900" i="1"/>
  <c r="M900" i="1"/>
  <c r="N899" i="1"/>
  <c r="M899" i="1"/>
  <c r="N898" i="1"/>
  <c r="M898" i="1"/>
  <c r="N897" i="1"/>
  <c r="M897" i="1"/>
  <c r="N896" i="1"/>
  <c r="M896" i="1"/>
  <c r="N895" i="1"/>
  <c r="M895" i="1"/>
  <c r="N894" i="1"/>
  <c r="M894" i="1"/>
  <c r="N893" i="1"/>
  <c r="M893" i="1"/>
  <c r="N892" i="1"/>
  <c r="M892" i="1"/>
  <c r="N891" i="1"/>
  <c r="M891" i="1"/>
  <c r="N890" i="1"/>
  <c r="M890" i="1"/>
  <c r="N889" i="1"/>
  <c r="M889" i="1"/>
  <c r="N888" i="1"/>
  <c r="M888" i="1"/>
  <c r="N887" i="1"/>
  <c r="M887" i="1"/>
  <c r="N886" i="1"/>
  <c r="M886" i="1"/>
  <c r="N885" i="1"/>
  <c r="M885" i="1"/>
  <c r="N884" i="1"/>
  <c r="M884" i="1"/>
  <c r="N883" i="1"/>
  <c r="M883" i="1"/>
  <c r="N882" i="1"/>
  <c r="M882" i="1"/>
  <c r="N881" i="1"/>
  <c r="M881" i="1"/>
  <c r="N880" i="1"/>
  <c r="M880" i="1"/>
  <c r="N879" i="1"/>
  <c r="M879" i="1"/>
  <c r="N878" i="1"/>
  <c r="M878" i="1"/>
  <c r="N877" i="1"/>
  <c r="M877" i="1"/>
  <c r="N876" i="1"/>
  <c r="M876" i="1"/>
  <c r="N875" i="1"/>
  <c r="M875" i="1"/>
  <c r="N874" i="1"/>
  <c r="M874" i="1"/>
  <c r="N873" i="1"/>
  <c r="M873" i="1"/>
  <c r="N872" i="1"/>
  <c r="M872" i="1"/>
  <c r="N871" i="1"/>
  <c r="M871" i="1"/>
  <c r="N870" i="1"/>
  <c r="M870" i="1"/>
  <c r="N869" i="1"/>
  <c r="M869" i="1"/>
  <c r="N868" i="1"/>
  <c r="M868" i="1"/>
  <c r="N867" i="1"/>
  <c r="M867" i="1"/>
  <c r="N866" i="1"/>
  <c r="M866" i="1"/>
  <c r="N865" i="1"/>
  <c r="M865" i="1"/>
  <c r="N864" i="1"/>
  <c r="M864" i="1"/>
  <c r="N863" i="1"/>
  <c r="M863" i="1"/>
  <c r="N862" i="1"/>
  <c r="M862" i="1"/>
  <c r="N861" i="1"/>
  <c r="M861" i="1"/>
  <c r="N860" i="1"/>
  <c r="M860" i="1"/>
  <c r="N859" i="1"/>
  <c r="M859" i="1"/>
  <c r="N858" i="1"/>
  <c r="M858" i="1"/>
  <c r="N857" i="1"/>
  <c r="M857" i="1"/>
  <c r="N856" i="1"/>
  <c r="M856" i="1"/>
  <c r="N855" i="1"/>
  <c r="M855" i="1"/>
  <c r="N854" i="1"/>
  <c r="M854" i="1"/>
  <c r="N853" i="1"/>
  <c r="M853" i="1"/>
  <c r="N852" i="1"/>
  <c r="M852" i="1"/>
  <c r="N851" i="1"/>
  <c r="M851" i="1"/>
  <c r="N850" i="1"/>
  <c r="M850" i="1"/>
  <c r="N849" i="1"/>
  <c r="M849" i="1"/>
  <c r="N848" i="1"/>
  <c r="M848" i="1"/>
  <c r="N847" i="1"/>
  <c r="M847" i="1"/>
  <c r="N846" i="1"/>
  <c r="M846" i="1"/>
  <c r="N845" i="1"/>
  <c r="M845" i="1"/>
  <c r="N844" i="1"/>
  <c r="M844" i="1"/>
  <c r="N843" i="1"/>
  <c r="M843" i="1"/>
  <c r="N842" i="1"/>
  <c r="M842" i="1"/>
  <c r="N841" i="1"/>
  <c r="M841" i="1"/>
  <c r="N840" i="1"/>
  <c r="M840" i="1"/>
  <c r="N839" i="1"/>
  <c r="M839" i="1"/>
  <c r="N838" i="1"/>
  <c r="M838" i="1"/>
  <c r="N837" i="1"/>
  <c r="M837" i="1"/>
  <c r="N836" i="1"/>
  <c r="M836" i="1"/>
  <c r="N835" i="1"/>
  <c r="M835" i="1"/>
  <c r="N834" i="1"/>
  <c r="M834" i="1"/>
  <c r="N833" i="1"/>
  <c r="M833" i="1"/>
  <c r="N832" i="1"/>
  <c r="M832" i="1"/>
  <c r="N831" i="1"/>
  <c r="M831" i="1"/>
  <c r="N830" i="1"/>
  <c r="M830" i="1"/>
  <c r="N829" i="1"/>
  <c r="M829" i="1"/>
  <c r="N828" i="1"/>
  <c r="M828" i="1"/>
  <c r="N827" i="1"/>
  <c r="M827" i="1"/>
  <c r="N826" i="1"/>
  <c r="M826" i="1"/>
  <c r="N825" i="1"/>
  <c r="M825" i="1"/>
  <c r="N824" i="1"/>
  <c r="M824" i="1"/>
  <c r="N823" i="1"/>
  <c r="M823" i="1"/>
  <c r="N822" i="1"/>
  <c r="M822" i="1"/>
  <c r="N821" i="1"/>
  <c r="M821" i="1"/>
  <c r="N820" i="1"/>
  <c r="M820" i="1"/>
  <c r="N819" i="1"/>
  <c r="M819" i="1"/>
  <c r="N818" i="1"/>
  <c r="M818" i="1"/>
  <c r="N817" i="1"/>
  <c r="M817" i="1"/>
  <c r="N816" i="1"/>
  <c r="M816" i="1"/>
  <c r="N815" i="1"/>
  <c r="M815" i="1"/>
  <c r="N814" i="1"/>
  <c r="M814" i="1"/>
  <c r="N813" i="1"/>
  <c r="M813" i="1"/>
  <c r="N812" i="1"/>
  <c r="M812" i="1"/>
  <c r="N811" i="1"/>
  <c r="M811" i="1"/>
  <c r="N810" i="1"/>
  <c r="M810" i="1"/>
  <c r="N809" i="1"/>
  <c r="M809" i="1"/>
  <c r="N808" i="1"/>
  <c r="M808" i="1"/>
  <c r="N807" i="1"/>
  <c r="M807" i="1"/>
  <c r="N806" i="1"/>
  <c r="M806" i="1"/>
  <c r="N805" i="1"/>
  <c r="M805" i="1"/>
  <c r="N804" i="1"/>
  <c r="M804" i="1"/>
  <c r="N803" i="1"/>
  <c r="M803" i="1"/>
  <c r="N802" i="1"/>
  <c r="M802" i="1"/>
  <c r="N801" i="1"/>
  <c r="M801" i="1"/>
  <c r="N800" i="1"/>
  <c r="M800" i="1"/>
  <c r="N799" i="1"/>
  <c r="M799" i="1"/>
  <c r="N798" i="1"/>
  <c r="M798" i="1"/>
  <c r="N797" i="1"/>
  <c r="M797" i="1"/>
  <c r="N796" i="1"/>
  <c r="M796" i="1"/>
  <c r="N795" i="1"/>
  <c r="M795" i="1"/>
  <c r="N794" i="1"/>
  <c r="M794" i="1"/>
  <c r="N793" i="1"/>
  <c r="M793" i="1"/>
  <c r="N792" i="1"/>
  <c r="M792" i="1"/>
  <c r="N791" i="1"/>
  <c r="M791" i="1"/>
  <c r="N790" i="1"/>
  <c r="M790" i="1"/>
  <c r="N789" i="1"/>
  <c r="M789" i="1"/>
  <c r="N788" i="1"/>
  <c r="M788" i="1"/>
  <c r="N787" i="1"/>
  <c r="M787" i="1"/>
  <c r="N786" i="1"/>
  <c r="M786" i="1"/>
  <c r="N785" i="1"/>
  <c r="M785" i="1"/>
  <c r="N784" i="1"/>
  <c r="M784" i="1"/>
  <c r="N783" i="1"/>
  <c r="M783" i="1"/>
  <c r="N782" i="1"/>
  <c r="M782" i="1"/>
  <c r="N781" i="1"/>
  <c r="M781" i="1"/>
  <c r="N780" i="1"/>
  <c r="M780" i="1"/>
  <c r="N779" i="1"/>
  <c r="M779" i="1"/>
  <c r="N778" i="1"/>
  <c r="M778" i="1"/>
  <c r="N777" i="1"/>
  <c r="M777" i="1"/>
  <c r="N776" i="1"/>
  <c r="M776" i="1"/>
  <c r="N775" i="1"/>
  <c r="M775" i="1"/>
  <c r="N774" i="1"/>
  <c r="M774" i="1"/>
  <c r="N773" i="1"/>
  <c r="M773" i="1"/>
  <c r="N772" i="1"/>
  <c r="M772" i="1"/>
  <c r="N771" i="1"/>
  <c r="M771" i="1"/>
  <c r="N770" i="1"/>
  <c r="M770" i="1"/>
  <c r="N769" i="1"/>
  <c r="M769" i="1"/>
  <c r="N768" i="1"/>
  <c r="M768" i="1"/>
  <c r="N767" i="1"/>
  <c r="M767" i="1"/>
  <c r="N766" i="1"/>
  <c r="M766" i="1"/>
  <c r="N765" i="1"/>
  <c r="M765" i="1"/>
  <c r="N764" i="1"/>
  <c r="M764" i="1"/>
  <c r="N763" i="1"/>
  <c r="M763" i="1"/>
  <c r="N762" i="1"/>
  <c r="M762" i="1"/>
  <c r="N761" i="1"/>
  <c r="M761" i="1"/>
  <c r="N760" i="1"/>
  <c r="M760" i="1"/>
  <c r="N759" i="1"/>
  <c r="M759" i="1"/>
  <c r="N758" i="1"/>
  <c r="M758" i="1"/>
  <c r="N757" i="1"/>
  <c r="M757" i="1"/>
  <c r="N756" i="1"/>
  <c r="M756" i="1"/>
  <c r="N755" i="1"/>
  <c r="M755" i="1"/>
  <c r="N754" i="1"/>
  <c r="M754" i="1"/>
  <c r="N753" i="1"/>
  <c r="M753" i="1"/>
  <c r="N752" i="1"/>
  <c r="M752" i="1"/>
  <c r="N751" i="1"/>
  <c r="M751" i="1"/>
  <c r="N750" i="1"/>
  <c r="M750" i="1"/>
  <c r="N749" i="1"/>
  <c r="M749" i="1"/>
  <c r="N748" i="1"/>
  <c r="M748" i="1"/>
  <c r="N747" i="1"/>
  <c r="M747" i="1"/>
  <c r="N746" i="1"/>
  <c r="M746" i="1"/>
  <c r="N745" i="1"/>
  <c r="M745" i="1"/>
  <c r="N744" i="1"/>
  <c r="M744" i="1"/>
  <c r="N743" i="1"/>
  <c r="M743" i="1"/>
  <c r="N742" i="1"/>
  <c r="M742" i="1"/>
  <c r="N741" i="1"/>
  <c r="M741" i="1"/>
  <c r="N740" i="1"/>
  <c r="M740" i="1"/>
  <c r="N739" i="1"/>
  <c r="M739" i="1"/>
  <c r="N738" i="1"/>
  <c r="M738" i="1"/>
  <c r="N737" i="1"/>
  <c r="M737" i="1"/>
  <c r="N736" i="1"/>
  <c r="M736" i="1"/>
  <c r="N735" i="1"/>
  <c r="M735" i="1"/>
  <c r="N734" i="1"/>
  <c r="M734" i="1"/>
  <c r="N733" i="1"/>
  <c r="M733" i="1"/>
  <c r="N732" i="1"/>
  <c r="M732" i="1"/>
  <c r="N731" i="1"/>
  <c r="M731" i="1"/>
  <c r="N730" i="1"/>
  <c r="M730" i="1"/>
  <c r="N729" i="1"/>
  <c r="M729" i="1"/>
  <c r="N728" i="1"/>
  <c r="M728" i="1"/>
  <c r="N727" i="1"/>
  <c r="M727" i="1"/>
  <c r="N726" i="1"/>
  <c r="M726" i="1"/>
  <c r="N725" i="1"/>
  <c r="M725" i="1"/>
  <c r="N724" i="1"/>
  <c r="M724" i="1"/>
  <c r="N723" i="1"/>
  <c r="M723" i="1"/>
  <c r="N722" i="1"/>
  <c r="M722" i="1"/>
  <c r="N721" i="1"/>
  <c r="M721" i="1"/>
  <c r="N720" i="1"/>
  <c r="M720" i="1"/>
  <c r="N719" i="1"/>
  <c r="M719" i="1"/>
  <c r="N718" i="1"/>
  <c r="M718" i="1"/>
  <c r="N717" i="1"/>
  <c r="M717" i="1"/>
  <c r="N716" i="1"/>
  <c r="M716" i="1"/>
  <c r="N715" i="1"/>
  <c r="M715" i="1"/>
  <c r="N714" i="1"/>
  <c r="M714" i="1"/>
  <c r="N713" i="1"/>
  <c r="M713" i="1"/>
  <c r="N712" i="1"/>
  <c r="M712" i="1"/>
  <c r="N711" i="1"/>
  <c r="M711" i="1"/>
  <c r="N710" i="1"/>
  <c r="M710" i="1"/>
  <c r="N709" i="1"/>
  <c r="M709" i="1"/>
  <c r="N708" i="1"/>
  <c r="M708" i="1"/>
  <c r="N707" i="1"/>
  <c r="M707" i="1"/>
  <c r="N706" i="1"/>
  <c r="M706" i="1"/>
  <c r="N705" i="1"/>
  <c r="M705" i="1"/>
  <c r="N704" i="1"/>
  <c r="M704" i="1"/>
  <c r="N703" i="1"/>
  <c r="M703" i="1"/>
  <c r="N702" i="1"/>
  <c r="M702" i="1"/>
  <c r="N701" i="1"/>
  <c r="M701" i="1"/>
  <c r="N700" i="1"/>
  <c r="M700" i="1"/>
  <c r="N699" i="1"/>
  <c r="M699" i="1"/>
  <c r="N698" i="1"/>
  <c r="M698" i="1"/>
  <c r="N697" i="1"/>
  <c r="M697" i="1"/>
  <c r="N696" i="1"/>
  <c r="M696" i="1"/>
  <c r="N695" i="1"/>
  <c r="M695" i="1"/>
  <c r="N694" i="1"/>
  <c r="M694" i="1"/>
  <c r="N693" i="1"/>
  <c r="M693" i="1"/>
  <c r="N692" i="1"/>
  <c r="M692" i="1"/>
  <c r="N691" i="1"/>
  <c r="M691" i="1"/>
  <c r="N690" i="1"/>
  <c r="M690" i="1"/>
  <c r="N689" i="1"/>
  <c r="M689" i="1"/>
  <c r="N688" i="1"/>
  <c r="M688" i="1"/>
  <c r="N687" i="1"/>
  <c r="M687" i="1"/>
  <c r="N686" i="1"/>
  <c r="M686" i="1"/>
  <c r="N685" i="1"/>
  <c r="M685" i="1"/>
  <c r="N684" i="1"/>
  <c r="M684" i="1"/>
  <c r="N683" i="1"/>
  <c r="M683" i="1"/>
  <c r="N682" i="1"/>
  <c r="M682" i="1"/>
  <c r="N681" i="1"/>
  <c r="M681" i="1"/>
  <c r="N680" i="1"/>
  <c r="M680" i="1"/>
  <c r="N679" i="1"/>
  <c r="M679" i="1"/>
  <c r="N678" i="1"/>
  <c r="M678" i="1"/>
  <c r="N677" i="1"/>
  <c r="M677" i="1"/>
  <c r="N676" i="1"/>
  <c r="M676" i="1"/>
  <c r="N675" i="1"/>
  <c r="M675" i="1"/>
  <c r="N674" i="1"/>
  <c r="M674" i="1"/>
  <c r="N673" i="1"/>
  <c r="M673" i="1"/>
  <c r="N672" i="1"/>
  <c r="M672" i="1"/>
  <c r="N671" i="1"/>
  <c r="M671" i="1"/>
  <c r="N670" i="1"/>
  <c r="M670" i="1"/>
  <c r="N669" i="1"/>
  <c r="M669" i="1"/>
  <c r="N668" i="1"/>
  <c r="M668" i="1"/>
  <c r="N667" i="1"/>
  <c r="M667" i="1"/>
  <c r="N666" i="1"/>
  <c r="M666" i="1"/>
  <c r="N665" i="1"/>
  <c r="M665" i="1"/>
  <c r="N664" i="1"/>
  <c r="M664" i="1"/>
  <c r="N663" i="1"/>
  <c r="M663" i="1"/>
  <c r="N662" i="1"/>
  <c r="M662" i="1"/>
  <c r="N661" i="1"/>
  <c r="M661" i="1"/>
  <c r="N660" i="1"/>
  <c r="M660" i="1"/>
  <c r="N659" i="1"/>
  <c r="M659" i="1"/>
  <c r="N658" i="1"/>
  <c r="M658" i="1"/>
  <c r="N657" i="1"/>
  <c r="M657" i="1"/>
  <c r="N656" i="1"/>
  <c r="M656" i="1"/>
  <c r="N655" i="1"/>
  <c r="M655" i="1"/>
  <c r="N654" i="1"/>
  <c r="M654" i="1"/>
  <c r="N653" i="1"/>
  <c r="M653" i="1"/>
  <c r="N652" i="1"/>
  <c r="M652" i="1"/>
  <c r="N651" i="1"/>
  <c r="M651" i="1"/>
  <c r="N650" i="1"/>
  <c r="M650" i="1"/>
  <c r="N649" i="1"/>
  <c r="M649" i="1"/>
  <c r="N648" i="1"/>
  <c r="M648" i="1"/>
  <c r="N647" i="1"/>
  <c r="M647" i="1"/>
  <c r="N646" i="1"/>
  <c r="M646" i="1"/>
  <c r="N645" i="1"/>
  <c r="M645" i="1"/>
  <c r="N644" i="1"/>
  <c r="M644" i="1"/>
  <c r="N643" i="1"/>
  <c r="M643" i="1"/>
  <c r="N642" i="1"/>
  <c r="M642" i="1"/>
  <c r="N641" i="1"/>
  <c r="M641" i="1"/>
  <c r="N640" i="1"/>
  <c r="M640" i="1"/>
  <c r="N639" i="1"/>
  <c r="M639" i="1"/>
  <c r="N638" i="1"/>
  <c r="M638" i="1"/>
  <c r="N637" i="1"/>
  <c r="M637" i="1"/>
  <c r="N636" i="1"/>
  <c r="M636" i="1"/>
  <c r="N635" i="1"/>
  <c r="M635" i="1"/>
  <c r="N634" i="1"/>
  <c r="M634" i="1"/>
  <c r="N633" i="1"/>
  <c r="M633" i="1"/>
  <c r="N632" i="1"/>
  <c r="M632" i="1"/>
  <c r="N631" i="1"/>
  <c r="M631" i="1"/>
  <c r="N630" i="1"/>
  <c r="M630" i="1"/>
  <c r="N629" i="1"/>
  <c r="M629" i="1"/>
  <c r="N628" i="1"/>
  <c r="M628" i="1"/>
  <c r="N627" i="1"/>
  <c r="M627" i="1"/>
  <c r="N626" i="1"/>
  <c r="M626" i="1"/>
  <c r="N625" i="1"/>
  <c r="M625" i="1"/>
  <c r="N624" i="1"/>
  <c r="M624" i="1"/>
  <c r="N623" i="1"/>
  <c r="M623" i="1"/>
  <c r="N622" i="1"/>
  <c r="M622" i="1"/>
  <c r="N621" i="1"/>
  <c r="M621" i="1"/>
  <c r="N620" i="1"/>
  <c r="M620" i="1"/>
  <c r="N619" i="1"/>
  <c r="M619" i="1"/>
  <c r="N618" i="1"/>
  <c r="M618" i="1"/>
  <c r="N617" i="1"/>
  <c r="M617" i="1"/>
  <c r="N616" i="1"/>
  <c r="M616" i="1"/>
  <c r="N615" i="1"/>
  <c r="M615" i="1"/>
  <c r="N614" i="1"/>
  <c r="M614" i="1"/>
  <c r="N613" i="1"/>
  <c r="M613" i="1"/>
  <c r="N612" i="1"/>
  <c r="M612" i="1"/>
  <c r="N611" i="1"/>
  <c r="M611" i="1"/>
  <c r="N610" i="1"/>
  <c r="M610" i="1"/>
  <c r="N609" i="1"/>
  <c r="M609" i="1"/>
  <c r="N608" i="1"/>
  <c r="M608" i="1"/>
  <c r="N607" i="1"/>
  <c r="M607" i="1"/>
  <c r="N606" i="1"/>
  <c r="M606" i="1"/>
  <c r="N605" i="1"/>
  <c r="M605" i="1"/>
  <c r="N604" i="1"/>
  <c r="M604" i="1"/>
  <c r="N603" i="1"/>
  <c r="M603" i="1"/>
  <c r="N602" i="1"/>
  <c r="M602" i="1"/>
  <c r="N601" i="1"/>
  <c r="M601" i="1"/>
  <c r="N600" i="1"/>
  <c r="M600" i="1"/>
  <c r="N599" i="1"/>
  <c r="M599" i="1"/>
  <c r="N598" i="1"/>
  <c r="M598" i="1"/>
  <c r="N597" i="1"/>
  <c r="M597" i="1"/>
  <c r="N596" i="1"/>
  <c r="M596" i="1"/>
  <c r="N595" i="1"/>
  <c r="M595" i="1"/>
  <c r="N594" i="1"/>
  <c r="M594" i="1"/>
  <c r="N593" i="1"/>
  <c r="M593" i="1"/>
  <c r="N592" i="1"/>
  <c r="M592" i="1"/>
  <c r="N591" i="1"/>
  <c r="M591" i="1"/>
  <c r="N590" i="1"/>
  <c r="M590" i="1"/>
  <c r="N589" i="1"/>
  <c r="M589" i="1"/>
  <c r="N588" i="1"/>
  <c r="M588" i="1"/>
  <c r="N587" i="1"/>
  <c r="M587" i="1"/>
  <c r="N586" i="1"/>
  <c r="M586" i="1"/>
  <c r="N585" i="1"/>
  <c r="M585" i="1"/>
  <c r="N584" i="1"/>
  <c r="M584" i="1"/>
  <c r="N583" i="1"/>
  <c r="M583" i="1"/>
  <c r="N582" i="1"/>
  <c r="M582" i="1"/>
  <c r="N581" i="1"/>
  <c r="M581" i="1"/>
  <c r="N580" i="1"/>
  <c r="M580" i="1"/>
  <c r="N579" i="1"/>
  <c r="M579" i="1"/>
  <c r="N578" i="1"/>
  <c r="M578" i="1"/>
  <c r="N577" i="1"/>
  <c r="M577" i="1"/>
  <c r="N576" i="1"/>
  <c r="M576" i="1"/>
  <c r="N575" i="1"/>
  <c r="M575" i="1"/>
  <c r="N574" i="1"/>
  <c r="M574" i="1"/>
  <c r="N573" i="1"/>
  <c r="M573" i="1"/>
  <c r="N572" i="1"/>
  <c r="M572" i="1"/>
  <c r="N571" i="1"/>
  <c r="M571" i="1"/>
  <c r="N570" i="1"/>
  <c r="M570" i="1"/>
  <c r="N569" i="1"/>
  <c r="M569" i="1"/>
  <c r="N568" i="1"/>
  <c r="M568" i="1"/>
  <c r="N567" i="1"/>
  <c r="M567" i="1"/>
  <c r="N566" i="1"/>
  <c r="M566" i="1"/>
  <c r="N565" i="1"/>
  <c r="M565" i="1"/>
  <c r="N564" i="1"/>
  <c r="M564" i="1"/>
  <c r="N563" i="1"/>
  <c r="M563" i="1"/>
  <c r="N562" i="1"/>
  <c r="M562" i="1"/>
  <c r="N561" i="1"/>
  <c r="M561" i="1"/>
  <c r="N560" i="1"/>
  <c r="M560" i="1"/>
  <c r="N559" i="1"/>
  <c r="M559" i="1"/>
  <c r="N558" i="1"/>
  <c r="M558" i="1"/>
  <c r="N557" i="1"/>
  <c r="M557" i="1"/>
  <c r="N556" i="1"/>
  <c r="M556" i="1"/>
  <c r="N555" i="1"/>
  <c r="M555" i="1"/>
  <c r="N554" i="1"/>
  <c r="M554" i="1"/>
  <c r="N553" i="1"/>
  <c r="M553" i="1"/>
  <c r="N552" i="1"/>
  <c r="M552" i="1"/>
  <c r="N551" i="1"/>
  <c r="M551" i="1"/>
  <c r="N550" i="1"/>
  <c r="M550" i="1"/>
  <c r="N549" i="1"/>
  <c r="M549" i="1"/>
  <c r="N548" i="1"/>
  <c r="M548" i="1"/>
  <c r="N547" i="1"/>
  <c r="M547" i="1"/>
  <c r="N546" i="1"/>
  <c r="M546" i="1"/>
  <c r="N545" i="1"/>
  <c r="M545" i="1"/>
  <c r="N544" i="1"/>
  <c r="M544" i="1"/>
  <c r="N543" i="1"/>
  <c r="M543" i="1"/>
  <c r="N542" i="1"/>
  <c r="M542" i="1"/>
  <c r="N541" i="1"/>
  <c r="M541" i="1"/>
  <c r="N540" i="1"/>
  <c r="M540" i="1"/>
  <c r="N539" i="1"/>
  <c r="M539" i="1"/>
  <c r="N538" i="1"/>
  <c r="M538" i="1"/>
  <c r="N537" i="1"/>
  <c r="M537" i="1"/>
  <c r="N536" i="1"/>
  <c r="M536" i="1"/>
  <c r="N535" i="1"/>
  <c r="M535" i="1"/>
  <c r="N534" i="1"/>
  <c r="M534" i="1"/>
  <c r="N533" i="1"/>
  <c r="M533" i="1"/>
  <c r="N532" i="1"/>
  <c r="M532" i="1"/>
  <c r="N531" i="1"/>
  <c r="M531" i="1"/>
  <c r="N530" i="1"/>
  <c r="M530" i="1"/>
  <c r="N529" i="1"/>
  <c r="M529" i="1"/>
  <c r="N528" i="1"/>
  <c r="M528" i="1"/>
  <c r="N527" i="1"/>
  <c r="M527" i="1"/>
  <c r="N526" i="1"/>
  <c r="M526" i="1"/>
  <c r="N525" i="1"/>
  <c r="M525" i="1"/>
  <c r="N524" i="1"/>
  <c r="M524" i="1"/>
  <c r="N523" i="1"/>
  <c r="M523" i="1"/>
  <c r="N522" i="1"/>
  <c r="M522" i="1"/>
  <c r="N521" i="1"/>
  <c r="M521" i="1"/>
  <c r="N520" i="1"/>
  <c r="M520" i="1"/>
  <c r="N519" i="1"/>
  <c r="M519" i="1"/>
  <c r="N518" i="1"/>
  <c r="M518" i="1"/>
  <c r="N517" i="1"/>
  <c r="M517" i="1"/>
  <c r="N516" i="1"/>
  <c r="M516" i="1"/>
  <c r="N515" i="1"/>
  <c r="M515" i="1"/>
  <c r="N514" i="1"/>
  <c r="M514" i="1"/>
  <c r="N513" i="1"/>
  <c r="M513" i="1"/>
  <c r="N512" i="1"/>
  <c r="M512" i="1"/>
  <c r="N511" i="1"/>
  <c r="M511" i="1"/>
  <c r="N510" i="1"/>
  <c r="M510" i="1"/>
  <c r="N509" i="1"/>
  <c r="M509" i="1"/>
  <c r="N508" i="1"/>
  <c r="M508" i="1"/>
  <c r="N507" i="1"/>
  <c r="M507" i="1"/>
  <c r="N506" i="1"/>
  <c r="M506" i="1"/>
  <c r="N505" i="1"/>
  <c r="M505" i="1"/>
  <c r="N504" i="1"/>
  <c r="M504" i="1"/>
  <c r="N503" i="1"/>
  <c r="M503" i="1"/>
  <c r="N502" i="1"/>
  <c r="M502" i="1"/>
  <c r="N501" i="1"/>
  <c r="M501" i="1"/>
  <c r="N500" i="1"/>
  <c r="M500" i="1"/>
  <c r="N499" i="1"/>
  <c r="M499" i="1"/>
  <c r="N498" i="1"/>
  <c r="M498" i="1"/>
  <c r="N497" i="1"/>
  <c r="M497" i="1"/>
  <c r="N496" i="1"/>
  <c r="M496" i="1"/>
  <c r="N495" i="1"/>
  <c r="M495" i="1"/>
  <c r="N494" i="1"/>
  <c r="M494" i="1"/>
  <c r="N493" i="1"/>
  <c r="M493" i="1"/>
  <c r="N492" i="1"/>
  <c r="M492" i="1"/>
  <c r="N491" i="1"/>
  <c r="M491" i="1"/>
  <c r="N490" i="1"/>
  <c r="M490" i="1"/>
  <c r="N489" i="1"/>
  <c r="M489" i="1"/>
  <c r="N488" i="1"/>
  <c r="M488" i="1"/>
  <c r="N487" i="1"/>
  <c r="M487" i="1"/>
  <c r="N486" i="1"/>
  <c r="M486" i="1"/>
  <c r="N485" i="1"/>
  <c r="M485" i="1"/>
  <c r="N484" i="1"/>
  <c r="M484" i="1"/>
  <c r="N483" i="1"/>
  <c r="M483" i="1"/>
  <c r="N482" i="1"/>
  <c r="M482" i="1"/>
  <c r="N481" i="1"/>
  <c r="M481" i="1"/>
  <c r="N480" i="1"/>
  <c r="M480" i="1"/>
  <c r="N479" i="1"/>
  <c r="M479" i="1"/>
  <c r="N478" i="1"/>
  <c r="M478" i="1"/>
  <c r="N477" i="1"/>
  <c r="M477" i="1"/>
  <c r="N476" i="1"/>
  <c r="M476" i="1"/>
  <c r="N475" i="1"/>
  <c r="M475" i="1"/>
  <c r="N474" i="1"/>
  <c r="M474" i="1"/>
  <c r="N473" i="1"/>
  <c r="M473" i="1"/>
  <c r="N472" i="1"/>
  <c r="M472" i="1"/>
  <c r="N471" i="1"/>
  <c r="M471" i="1"/>
  <c r="N470" i="1"/>
  <c r="M470" i="1"/>
  <c r="N469" i="1"/>
  <c r="M469" i="1"/>
  <c r="N468" i="1"/>
  <c r="M468" i="1"/>
  <c r="N467" i="1"/>
  <c r="M467" i="1"/>
  <c r="N466" i="1"/>
  <c r="M466" i="1"/>
  <c r="N465" i="1"/>
  <c r="M465" i="1"/>
  <c r="N464" i="1"/>
  <c r="M464" i="1"/>
  <c r="N463" i="1"/>
  <c r="M463" i="1"/>
  <c r="N462" i="1"/>
  <c r="M462" i="1"/>
  <c r="N461" i="1"/>
  <c r="M461" i="1"/>
  <c r="N460" i="1"/>
  <c r="M460" i="1"/>
  <c r="N459" i="1"/>
  <c r="M459" i="1"/>
  <c r="N458" i="1"/>
  <c r="M458" i="1"/>
  <c r="N457" i="1"/>
  <c r="M457" i="1"/>
  <c r="N456" i="1"/>
  <c r="M456" i="1"/>
  <c r="N455" i="1"/>
  <c r="M455" i="1"/>
  <c r="N454" i="1"/>
  <c r="M454" i="1"/>
  <c r="N453" i="1"/>
  <c r="M453" i="1"/>
  <c r="N452" i="1"/>
  <c r="M452" i="1"/>
  <c r="N451" i="1"/>
  <c r="M451" i="1"/>
  <c r="N450" i="1"/>
  <c r="M450" i="1"/>
  <c r="N449" i="1"/>
  <c r="M449" i="1"/>
  <c r="N448" i="1"/>
  <c r="M448" i="1"/>
  <c r="N447" i="1"/>
  <c r="M447" i="1"/>
  <c r="N446" i="1"/>
  <c r="M446" i="1"/>
  <c r="N445" i="1"/>
  <c r="M445" i="1"/>
  <c r="N444" i="1"/>
  <c r="M444" i="1"/>
  <c r="N443" i="1"/>
  <c r="M443" i="1"/>
  <c r="N442" i="1"/>
  <c r="M442" i="1"/>
  <c r="N441" i="1"/>
  <c r="M441" i="1"/>
  <c r="N440" i="1"/>
  <c r="M440" i="1"/>
  <c r="N439" i="1"/>
  <c r="M439" i="1"/>
  <c r="N438" i="1"/>
  <c r="M438" i="1"/>
  <c r="N437" i="1"/>
  <c r="M437" i="1"/>
  <c r="N436" i="1"/>
  <c r="M436" i="1"/>
  <c r="N435" i="1"/>
  <c r="M435" i="1"/>
  <c r="N434" i="1"/>
  <c r="M434" i="1"/>
  <c r="N433" i="1"/>
  <c r="M433" i="1"/>
  <c r="N432" i="1"/>
  <c r="M432" i="1"/>
  <c r="N431" i="1"/>
  <c r="M431" i="1"/>
  <c r="N430" i="1"/>
  <c r="M430" i="1"/>
  <c r="N429" i="1"/>
  <c r="M429" i="1"/>
  <c r="N428" i="1"/>
  <c r="M428" i="1"/>
  <c r="N427" i="1"/>
  <c r="M427" i="1"/>
  <c r="N426" i="1"/>
  <c r="M426" i="1"/>
  <c r="N425" i="1"/>
  <c r="M425" i="1"/>
  <c r="N424" i="1"/>
  <c r="M424" i="1"/>
  <c r="N423" i="1"/>
  <c r="M423" i="1"/>
  <c r="N422" i="1"/>
  <c r="M422" i="1"/>
  <c r="N421" i="1"/>
  <c r="M421" i="1"/>
  <c r="N420" i="1"/>
  <c r="M420" i="1"/>
  <c r="N419" i="1"/>
  <c r="M419" i="1"/>
  <c r="N418" i="1"/>
  <c r="M418" i="1"/>
  <c r="N417" i="1"/>
  <c r="M417" i="1"/>
  <c r="N416" i="1"/>
  <c r="M416" i="1"/>
  <c r="N415" i="1"/>
  <c r="M415" i="1"/>
  <c r="N414" i="1"/>
  <c r="M414" i="1"/>
  <c r="N413" i="1"/>
  <c r="M413" i="1"/>
  <c r="N412" i="1"/>
  <c r="M412" i="1"/>
  <c r="N411" i="1"/>
  <c r="M411" i="1"/>
  <c r="N410" i="1"/>
  <c r="M410" i="1"/>
  <c r="N409" i="1"/>
  <c r="M409" i="1"/>
  <c r="N408" i="1"/>
  <c r="M408" i="1"/>
  <c r="N407" i="1"/>
  <c r="M407" i="1"/>
  <c r="N406" i="1"/>
  <c r="M406" i="1"/>
  <c r="N405" i="1"/>
  <c r="M405" i="1"/>
  <c r="N404" i="1"/>
  <c r="M404" i="1"/>
  <c r="N403" i="1"/>
  <c r="M403" i="1"/>
  <c r="N402" i="1"/>
  <c r="M402" i="1"/>
  <c r="N401" i="1"/>
  <c r="M401" i="1"/>
  <c r="N400" i="1"/>
  <c r="M400" i="1"/>
  <c r="N399" i="1"/>
  <c r="M399" i="1"/>
  <c r="N398" i="1"/>
  <c r="M398" i="1"/>
  <c r="N397" i="1"/>
  <c r="M397" i="1"/>
  <c r="N396" i="1"/>
  <c r="M396" i="1"/>
  <c r="N395" i="1"/>
  <c r="M395" i="1"/>
  <c r="N394" i="1"/>
  <c r="M394" i="1"/>
  <c r="N393" i="1"/>
  <c r="M393" i="1"/>
  <c r="N392" i="1"/>
  <c r="M392" i="1"/>
  <c r="N391" i="1"/>
  <c r="M391" i="1"/>
  <c r="N390" i="1"/>
  <c r="M390" i="1"/>
  <c r="N389" i="1"/>
  <c r="M389" i="1"/>
  <c r="N388" i="1"/>
  <c r="M388" i="1"/>
  <c r="N387" i="1"/>
  <c r="M387" i="1"/>
  <c r="N386" i="1"/>
  <c r="M386" i="1"/>
  <c r="N385" i="1"/>
  <c r="M385" i="1"/>
  <c r="N384" i="1"/>
  <c r="M384" i="1"/>
  <c r="N383" i="1"/>
  <c r="M383" i="1"/>
  <c r="N382" i="1"/>
  <c r="M382" i="1"/>
  <c r="N381" i="1"/>
  <c r="M381" i="1"/>
  <c r="N380" i="1"/>
  <c r="M380" i="1"/>
  <c r="N379" i="1"/>
  <c r="M379" i="1"/>
  <c r="N378" i="1"/>
  <c r="M378" i="1"/>
  <c r="N377" i="1"/>
  <c r="M377" i="1"/>
  <c r="N376" i="1"/>
  <c r="M376" i="1"/>
  <c r="N375" i="1"/>
  <c r="M375" i="1"/>
  <c r="N374" i="1"/>
  <c r="M374" i="1"/>
  <c r="N373" i="1"/>
  <c r="M373" i="1"/>
  <c r="N372" i="1"/>
  <c r="M372" i="1"/>
  <c r="N371" i="1"/>
  <c r="M371" i="1"/>
  <c r="N370" i="1"/>
  <c r="M370" i="1"/>
  <c r="N369" i="1"/>
  <c r="M369" i="1"/>
  <c r="N368" i="1"/>
  <c r="M368" i="1"/>
  <c r="N367" i="1"/>
  <c r="M367" i="1"/>
  <c r="N366" i="1"/>
  <c r="M366" i="1"/>
  <c r="N365" i="1"/>
  <c r="M365" i="1"/>
  <c r="N364" i="1"/>
  <c r="M364" i="1"/>
  <c r="N363" i="1"/>
  <c r="M363" i="1"/>
  <c r="N362" i="1"/>
  <c r="M362" i="1"/>
  <c r="N361" i="1"/>
  <c r="M361" i="1"/>
  <c r="N360" i="1"/>
  <c r="M360" i="1"/>
  <c r="N359" i="1"/>
  <c r="M359" i="1"/>
  <c r="N358" i="1"/>
  <c r="M358" i="1"/>
  <c r="N357" i="1"/>
  <c r="M357" i="1"/>
  <c r="N356" i="1"/>
  <c r="M356" i="1"/>
  <c r="N355" i="1"/>
  <c r="M355" i="1"/>
  <c r="N354" i="1"/>
  <c r="M354" i="1"/>
  <c r="N353" i="1"/>
  <c r="M353" i="1"/>
  <c r="N352" i="1"/>
  <c r="M352" i="1"/>
  <c r="N351" i="1"/>
  <c r="M351" i="1"/>
  <c r="N350" i="1"/>
  <c r="M350" i="1"/>
  <c r="N349" i="1"/>
  <c r="M349" i="1"/>
  <c r="N348" i="1"/>
  <c r="M348" i="1"/>
  <c r="N347" i="1"/>
  <c r="M347" i="1"/>
  <c r="N346" i="1"/>
  <c r="M346" i="1"/>
  <c r="N345" i="1"/>
  <c r="M345" i="1"/>
  <c r="N344" i="1"/>
  <c r="M344" i="1"/>
  <c r="N343" i="1"/>
  <c r="M343" i="1"/>
  <c r="N342" i="1"/>
  <c r="M342" i="1"/>
  <c r="N341" i="1"/>
  <c r="M341" i="1"/>
  <c r="N340" i="1"/>
  <c r="M340" i="1"/>
  <c r="N339" i="1"/>
  <c r="M339" i="1"/>
  <c r="N338" i="1"/>
  <c r="M338" i="1"/>
  <c r="N337" i="1"/>
  <c r="M337" i="1"/>
  <c r="N336" i="1"/>
  <c r="M336" i="1"/>
  <c r="N335" i="1"/>
  <c r="M335" i="1"/>
  <c r="N334" i="1"/>
  <c r="M334" i="1"/>
  <c r="N333" i="1"/>
  <c r="M333" i="1"/>
  <c r="N332" i="1"/>
  <c r="M332" i="1"/>
  <c r="N331" i="1"/>
  <c r="M331" i="1"/>
  <c r="N330" i="1"/>
  <c r="M330" i="1"/>
  <c r="N329" i="1"/>
  <c r="M329" i="1"/>
  <c r="N328" i="1"/>
  <c r="M328" i="1"/>
  <c r="N327" i="1"/>
  <c r="M327" i="1"/>
  <c r="N326" i="1"/>
  <c r="M326" i="1"/>
  <c r="N325" i="1"/>
  <c r="M325" i="1"/>
  <c r="N324" i="1"/>
  <c r="M324" i="1"/>
  <c r="N323" i="1"/>
  <c r="M323" i="1"/>
  <c r="N322" i="1"/>
  <c r="M322" i="1"/>
  <c r="N321" i="1"/>
  <c r="M321" i="1"/>
  <c r="N320" i="1"/>
  <c r="M320" i="1"/>
  <c r="N319" i="1"/>
  <c r="M319" i="1"/>
  <c r="N318" i="1"/>
  <c r="M318" i="1"/>
  <c r="N317" i="1"/>
  <c r="M317" i="1"/>
  <c r="N316" i="1"/>
  <c r="M316" i="1"/>
  <c r="N315" i="1"/>
  <c r="M315" i="1"/>
  <c r="N314" i="1"/>
  <c r="M314" i="1"/>
  <c r="N313" i="1"/>
  <c r="M313" i="1"/>
  <c r="N312" i="1"/>
  <c r="M312" i="1"/>
  <c r="N311" i="1"/>
  <c r="M311" i="1"/>
  <c r="N310" i="1"/>
  <c r="M310" i="1"/>
  <c r="N309" i="1"/>
  <c r="M309" i="1"/>
  <c r="N308" i="1"/>
  <c r="M308" i="1"/>
  <c r="N307" i="1"/>
  <c r="M307" i="1"/>
  <c r="N306" i="1"/>
  <c r="M306" i="1"/>
  <c r="N305" i="1"/>
  <c r="M305" i="1"/>
  <c r="N304" i="1"/>
  <c r="M304" i="1"/>
  <c r="N303" i="1"/>
  <c r="M303" i="1"/>
  <c r="N302" i="1"/>
  <c r="M302" i="1"/>
  <c r="N301" i="1"/>
  <c r="M301" i="1"/>
  <c r="N300" i="1"/>
  <c r="M300" i="1"/>
  <c r="N299" i="1"/>
  <c r="M299" i="1"/>
  <c r="N298" i="1"/>
  <c r="M298" i="1"/>
  <c r="N297" i="1"/>
  <c r="M297" i="1"/>
  <c r="N296" i="1"/>
  <c r="M296" i="1"/>
  <c r="N295" i="1"/>
  <c r="M295" i="1"/>
  <c r="N294" i="1"/>
  <c r="M294" i="1"/>
  <c r="N293" i="1"/>
  <c r="M293" i="1"/>
  <c r="N292" i="1"/>
  <c r="M292" i="1"/>
  <c r="N291" i="1"/>
  <c r="M291" i="1"/>
  <c r="N290" i="1"/>
  <c r="M290" i="1"/>
  <c r="N289" i="1"/>
  <c r="M289" i="1"/>
  <c r="N288" i="1"/>
  <c r="M288" i="1"/>
  <c r="N287" i="1"/>
  <c r="M287" i="1"/>
  <c r="N286" i="1"/>
  <c r="M286" i="1"/>
  <c r="N285" i="1"/>
  <c r="M285" i="1"/>
  <c r="N284" i="1"/>
  <c r="M284" i="1"/>
  <c r="N283" i="1"/>
  <c r="M283" i="1"/>
  <c r="N282" i="1"/>
  <c r="M282" i="1"/>
  <c r="N281" i="1"/>
  <c r="M281" i="1"/>
  <c r="N280" i="1"/>
  <c r="M280" i="1"/>
  <c r="N279" i="1"/>
  <c r="M279" i="1"/>
  <c r="N278" i="1"/>
  <c r="M278" i="1"/>
  <c r="N277" i="1"/>
  <c r="M277" i="1"/>
  <c r="N276" i="1"/>
  <c r="M276" i="1"/>
  <c r="N275" i="1"/>
  <c r="M275" i="1"/>
  <c r="N274" i="1"/>
  <c r="M274" i="1"/>
  <c r="N273" i="1"/>
  <c r="M273" i="1"/>
  <c r="N272" i="1"/>
  <c r="M272" i="1"/>
  <c r="N271" i="1"/>
  <c r="M271" i="1"/>
  <c r="N270" i="1"/>
  <c r="M270" i="1"/>
  <c r="N269" i="1"/>
  <c r="M269" i="1"/>
  <c r="N268" i="1"/>
  <c r="M268" i="1"/>
  <c r="N267" i="1"/>
  <c r="M267" i="1"/>
  <c r="N266" i="1"/>
  <c r="M266" i="1"/>
  <c r="N265" i="1"/>
  <c r="M265" i="1"/>
  <c r="N264" i="1"/>
  <c r="M264" i="1"/>
  <c r="N263" i="1"/>
  <c r="M263" i="1"/>
  <c r="N262" i="1"/>
  <c r="M262" i="1"/>
  <c r="N261" i="1"/>
  <c r="M261" i="1"/>
  <c r="N260" i="1"/>
  <c r="M260" i="1"/>
  <c r="N259" i="1"/>
  <c r="M259" i="1"/>
  <c r="N258" i="1"/>
  <c r="M258" i="1"/>
  <c r="N257" i="1"/>
  <c r="M257" i="1"/>
  <c r="N256" i="1"/>
  <c r="M256" i="1"/>
  <c r="N255" i="1"/>
  <c r="M255" i="1"/>
  <c r="N254" i="1"/>
  <c r="M254" i="1"/>
  <c r="N253" i="1"/>
  <c r="M253" i="1"/>
  <c r="N252" i="1"/>
  <c r="M252" i="1"/>
  <c r="N251" i="1"/>
  <c r="M251" i="1"/>
  <c r="N250" i="1"/>
  <c r="M250" i="1"/>
  <c r="N249" i="1"/>
  <c r="M249" i="1"/>
  <c r="N248" i="1"/>
  <c r="M248" i="1"/>
  <c r="N247" i="1"/>
  <c r="M247" i="1"/>
  <c r="N246" i="1"/>
  <c r="M246" i="1"/>
  <c r="N245" i="1"/>
  <c r="M245" i="1"/>
  <c r="N244" i="1"/>
  <c r="M244" i="1"/>
  <c r="N243" i="1"/>
  <c r="M243" i="1"/>
  <c r="N242" i="1"/>
  <c r="M242" i="1"/>
  <c r="N241" i="1"/>
  <c r="M241" i="1"/>
  <c r="N240" i="1"/>
  <c r="M240" i="1"/>
  <c r="N239" i="1"/>
  <c r="M239" i="1"/>
  <c r="N238" i="1"/>
  <c r="M238" i="1"/>
  <c r="N237" i="1"/>
  <c r="M237" i="1"/>
  <c r="N236" i="1"/>
  <c r="M236" i="1"/>
  <c r="N235" i="1"/>
  <c r="M235" i="1"/>
  <c r="N234" i="1"/>
  <c r="M234" i="1"/>
  <c r="N233" i="1"/>
  <c r="M233" i="1"/>
  <c r="N232" i="1"/>
  <c r="M232" i="1"/>
  <c r="N231" i="1"/>
  <c r="M231" i="1"/>
  <c r="N230" i="1"/>
  <c r="M230" i="1"/>
  <c r="N229" i="1"/>
  <c r="M229" i="1"/>
  <c r="N228" i="1"/>
  <c r="M228" i="1"/>
  <c r="N227" i="1"/>
  <c r="M227" i="1"/>
  <c r="N226" i="1"/>
  <c r="M226" i="1"/>
  <c r="N225" i="1"/>
  <c r="M225" i="1"/>
  <c r="N224" i="1"/>
  <c r="M224" i="1"/>
  <c r="N223" i="1"/>
  <c r="M223" i="1"/>
  <c r="N222" i="1"/>
  <c r="M222" i="1"/>
  <c r="N221" i="1"/>
  <c r="M221" i="1"/>
  <c r="N220" i="1"/>
  <c r="M220" i="1"/>
  <c r="N219" i="1"/>
  <c r="M219" i="1"/>
  <c r="N218" i="1"/>
  <c r="M218" i="1"/>
  <c r="N217" i="1"/>
  <c r="M217" i="1"/>
  <c r="N216" i="1"/>
  <c r="M216" i="1"/>
  <c r="N215" i="1"/>
  <c r="M215" i="1"/>
  <c r="N214" i="1"/>
  <c r="M214" i="1"/>
  <c r="N213" i="1"/>
  <c r="M213" i="1"/>
  <c r="N212" i="1"/>
  <c r="M212" i="1"/>
  <c r="N211" i="1"/>
  <c r="M211" i="1"/>
  <c r="N210" i="1"/>
  <c r="M210" i="1"/>
  <c r="N209" i="1"/>
  <c r="M209" i="1"/>
  <c r="N208" i="1"/>
  <c r="M208" i="1"/>
  <c r="N207" i="1"/>
  <c r="M207" i="1"/>
  <c r="N206" i="1"/>
  <c r="M206" i="1"/>
  <c r="N205" i="1"/>
  <c r="M205" i="1"/>
  <c r="N204" i="1"/>
  <c r="M204" i="1"/>
  <c r="N203" i="1"/>
  <c r="M203" i="1"/>
  <c r="N202" i="1"/>
  <c r="M202" i="1"/>
  <c r="N201" i="1"/>
  <c r="M201" i="1"/>
  <c r="N200" i="1"/>
  <c r="M200" i="1"/>
  <c r="N199" i="1"/>
  <c r="M199" i="1"/>
  <c r="N198" i="1"/>
  <c r="M198" i="1"/>
  <c r="N197" i="1"/>
  <c r="M197" i="1"/>
  <c r="N196" i="1"/>
  <c r="M196" i="1"/>
  <c r="N195" i="1"/>
  <c r="M195" i="1"/>
  <c r="N194" i="1"/>
  <c r="M194" i="1"/>
  <c r="N193" i="1"/>
  <c r="M193" i="1"/>
  <c r="N192" i="1"/>
  <c r="M192" i="1"/>
  <c r="N191" i="1"/>
  <c r="M191" i="1"/>
  <c r="N190" i="1"/>
  <c r="M190" i="1"/>
  <c r="N189" i="1"/>
  <c r="M189" i="1"/>
  <c r="N188" i="1"/>
  <c r="M188" i="1"/>
  <c r="N187" i="1"/>
  <c r="M187" i="1"/>
  <c r="N186" i="1"/>
  <c r="M186" i="1"/>
  <c r="N185" i="1"/>
  <c r="M185" i="1"/>
  <c r="N184" i="1"/>
  <c r="M184" i="1"/>
  <c r="N183" i="1"/>
  <c r="M183" i="1"/>
  <c r="N182" i="1"/>
  <c r="M182" i="1"/>
  <c r="N181" i="1"/>
  <c r="M181" i="1"/>
  <c r="N180" i="1"/>
  <c r="M180" i="1"/>
  <c r="N179" i="1"/>
  <c r="M179" i="1"/>
  <c r="N178" i="1"/>
  <c r="M178" i="1"/>
  <c r="N177" i="1"/>
  <c r="M177" i="1"/>
  <c r="N176" i="1"/>
  <c r="M176" i="1"/>
  <c r="N175" i="1"/>
  <c r="M175" i="1"/>
  <c r="N174" i="1"/>
  <c r="M174" i="1"/>
  <c r="N173" i="1"/>
  <c r="M173" i="1"/>
  <c r="N172" i="1"/>
  <c r="M172" i="1"/>
  <c r="N171" i="1"/>
  <c r="M171" i="1"/>
  <c r="N170" i="1"/>
  <c r="M170" i="1"/>
  <c r="N169" i="1"/>
  <c r="M169" i="1"/>
  <c r="N168" i="1"/>
  <c r="M168" i="1"/>
  <c r="N167" i="1"/>
  <c r="M167" i="1"/>
  <c r="N166" i="1"/>
  <c r="M166" i="1"/>
  <c r="N165" i="1"/>
  <c r="M165" i="1"/>
  <c r="N164" i="1"/>
  <c r="M164" i="1"/>
  <c r="N163" i="1"/>
  <c r="M163" i="1"/>
  <c r="N162" i="1"/>
  <c r="M162" i="1"/>
  <c r="N161" i="1"/>
  <c r="M161" i="1"/>
  <c r="N160" i="1"/>
  <c r="M160" i="1"/>
  <c r="N159" i="1"/>
  <c r="M159" i="1"/>
  <c r="N158" i="1"/>
  <c r="M158" i="1"/>
  <c r="N157" i="1"/>
  <c r="M157" i="1"/>
  <c r="N156" i="1"/>
  <c r="M156" i="1"/>
  <c r="N155" i="1"/>
  <c r="M155" i="1"/>
  <c r="N154" i="1"/>
  <c r="M154" i="1"/>
  <c r="N153" i="1"/>
  <c r="M153" i="1"/>
  <c r="N152" i="1"/>
  <c r="M152" i="1"/>
  <c r="N151" i="1"/>
  <c r="M151" i="1"/>
  <c r="N150" i="1"/>
  <c r="M150" i="1"/>
  <c r="N149" i="1"/>
  <c r="M149" i="1"/>
  <c r="N148" i="1"/>
  <c r="M148" i="1"/>
  <c r="N147" i="1"/>
  <c r="M147" i="1"/>
  <c r="N146" i="1"/>
  <c r="M146" i="1"/>
  <c r="N145" i="1"/>
  <c r="M145" i="1"/>
  <c r="N144" i="1"/>
  <c r="M144" i="1"/>
  <c r="N143" i="1"/>
  <c r="M143" i="1"/>
  <c r="N142" i="1"/>
  <c r="M142" i="1"/>
  <c r="N141" i="1"/>
  <c r="M141" i="1"/>
  <c r="N140" i="1"/>
  <c r="M140" i="1"/>
  <c r="N139" i="1"/>
  <c r="M139" i="1"/>
  <c r="N138" i="1"/>
  <c r="M138" i="1"/>
  <c r="N137" i="1"/>
  <c r="M137" i="1"/>
  <c r="N136" i="1"/>
  <c r="M136" i="1"/>
  <c r="N135" i="1"/>
  <c r="M135" i="1"/>
  <c r="N134" i="1"/>
  <c r="M134" i="1"/>
  <c r="N133" i="1"/>
  <c r="M133" i="1"/>
  <c r="N132" i="1"/>
  <c r="M132" i="1"/>
  <c r="N131" i="1"/>
  <c r="M131" i="1"/>
  <c r="N130" i="1"/>
  <c r="M130" i="1"/>
  <c r="N129" i="1"/>
  <c r="M129" i="1"/>
  <c r="N128" i="1"/>
  <c r="M128" i="1"/>
  <c r="N127" i="1"/>
  <c r="M127" i="1"/>
  <c r="N126" i="1"/>
  <c r="M126" i="1"/>
  <c r="N125" i="1"/>
  <c r="M125" i="1"/>
  <c r="N124" i="1"/>
  <c r="M124" i="1"/>
  <c r="N123" i="1"/>
  <c r="M123" i="1"/>
  <c r="N122" i="1"/>
  <c r="M122" i="1"/>
  <c r="N121" i="1"/>
  <c r="M121" i="1"/>
  <c r="N120" i="1"/>
  <c r="M120" i="1"/>
  <c r="N119" i="1"/>
  <c r="M119" i="1"/>
  <c r="N118" i="1"/>
  <c r="M118" i="1"/>
  <c r="N117" i="1"/>
  <c r="M117" i="1"/>
  <c r="N116" i="1"/>
  <c r="M116" i="1"/>
  <c r="N115" i="1"/>
  <c r="M115" i="1"/>
  <c r="N114" i="1"/>
  <c r="M114" i="1"/>
  <c r="N113" i="1"/>
  <c r="M113" i="1"/>
  <c r="N112" i="1"/>
  <c r="M112" i="1"/>
  <c r="N111" i="1"/>
  <c r="M111" i="1"/>
  <c r="N110" i="1"/>
  <c r="M110" i="1"/>
  <c r="N109" i="1"/>
  <c r="M109" i="1"/>
  <c r="N108" i="1"/>
  <c r="M108" i="1"/>
  <c r="N107" i="1"/>
  <c r="M107" i="1"/>
  <c r="N106" i="1"/>
  <c r="M106" i="1"/>
  <c r="N105" i="1"/>
  <c r="M105" i="1"/>
  <c r="N104" i="1"/>
  <c r="M104" i="1"/>
  <c r="N103" i="1"/>
  <c r="M103" i="1"/>
  <c r="N102" i="1"/>
  <c r="M102" i="1"/>
  <c r="N101" i="1"/>
  <c r="M101" i="1"/>
  <c r="N100" i="1"/>
  <c r="M100" i="1"/>
  <c r="N99" i="1"/>
  <c r="M99" i="1"/>
  <c r="N98" i="1"/>
  <c r="M98" i="1"/>
  <c r="N97" i="1"/>
  <c r="M97" i="1"/>
  <c r="N96" i="1"/>
  <c r="M96" i="1"/>
  <c r="N95" i="1"/>
  <c r="M95" i="1"/>
  <c r="N94" i="1"/>
  <c r="M94" i="1"/>
  <c r="N93" i="1"/>
  <c r="M93" i="1"/>
  <c r="N92" i="1"/>
  <c r="M92" i="1"/>
  <c r="N91" i="1"/>
  <c r="M91" i="1"/>
  <c r="N90" i="1"/>
  <c r="M90" i="1"/>
  <c r="N89" i="1"/>
  <c r="M89" i="1"/>
  <c r="N88" i="1"/>
  <c r="M88" i="1"/>
  <c r="N87" i="1"/>
  <c r="M87" i="1"/>
  <c r="N86" i="1"/>
  <c r="M86" i="1"/>
  <c r="N85" i="1"/>
  <c r="M85" i="1"/>
  <c r="N84" i="1"/>
  <c r="M84" i="1"/>
  <c r="N83" i="1"/>
  <c r="M83" i="1"/>
  <c r="N82" i="1"/>
  <c r="M82" i="1"/>
  <c r="N81" i="1"/>
  <c r="M81" i="1"/>
  <c r="N80" i="1"/>
  <c r="M80" i="1"/>
  <c r="N79" i="1"/>
  <c r="M79" i="1"/>
  <c r="N78" i="1"/>
  <c r="M78" i="1"/>
  <c r="N77" i="1"/>
  <c r="M77" i="1"/>
  <c r="N76" i="1"/>
  <c r="M76" i="1"/>
  <c r="N75" i="1"/>
  <c r="M75" i="1"/>
  <c r="N74" i="1"/>
  <c r="M74" i="1"/>
  <c r="N73" i="1"/>
  <c r="M73" i="1"/>
  <c r="N72" i="1"/>
  <c r="M72" i="1"/>
  <c r="N71" i="1"/>
  <c r="M71" i="1"/>
  <c r="N70" i="1"/>
  <c r="M70" i="1"/>
  <c r="N69" i="1"/>
  <c r="M69" i="1"/>
  <c r="N68" i="1"/>
  <c r="M68" i="1"/>
  <c r="N67" i="1"/>
  <c r="M67" i="1"/>
  <c r="N66" i="1"/>
  <c r="M66" i="1"/>
  <c r="N65" i="1"/>
  <c r="M65" i="1"/>
  <c r="N64" i="1"/>
  <c r="M64" i="1"/>
  <c r="N63" i="1"/>
  <c r="M63" i="1"/>
  <c r="N62" i="1"/>
  <c r="M62" i="1"/>
  <c r="N61" i="1"/>
  <c r="M61" i="1"/>
  <c r="N60" i="1"/>
  <c r="M60" i="1"/>
  <c r="N59" i="1"/>
  <c r="M59" i="1"/>
  <c r="N58" i="1"/>
  <c r="M58" i="1"/>
  <c r="N57" i="1"/>
  <c r="M57" i="1"/>
  <c r="N56" i="1"/>
  <c r="M56" i="1"/>
  <c r="N55" i="1"/>
  <c r="M55" i="1"/>
  <c r="N54" i="1"/>
  <c r="M54" i="1"/>
  <c r="N53" i="1"/>
  <c r="M53" i="1"/>
  <c r="N52" i="1"/>
  <c r="M52" i="1"/>
  <c r="N51" i="1"/>
  <c r="M51" i="1"/>
  <c r="N50" i="1"/>
  <c r="M50" i="1"/>
  <c r="N49" i="1"/>
  <c r="M49" i="1"/>
  <c r="N48" i="1"/>
  <c r="M48" i="1"/>
  <c r="N47" i="1"/>
  <c r="M47" i="1"/>
  <c r="N46" i="1"/>
  <c r="M46" i="1"/>
  <c r="N45" i="1"/>
  <c r="M45" i="1"/>
  <c r="N44" i="1"/>
  <c r="M44" i="1"/>
  <c r="N43" i="1"/>
  <c r="M43" i="1"/>
  <c r="N42" i="1"/>
  <c r="M42" i="1"/>
  <c r="N41" i="1"/>
  <c r="M41" i="1"/>
  <c r="N40" i="1"/>
  <c r="M40" i="1"/>
  <c r="N39" i="1"/>
  <c r="M39" i="1"/>
  <c r="N38" i="1"/>
  <c r="M38" i="1"/>
  <c r="N37" i="1"/>
  <c r="M37" i="1"/>
  <c r="N36" i="1"/>
  <c r="M36" i="1"/>
  <c r="N35" i="1"/>
  <c r="M35" i="1"/>
  <c r="N34" i="1"/>
  <c r="M34" i="1"/>
  <c r="N33" i="1"/>
  <c r="M33" i="1"/>
  <c r="N32" i="1"/>
  <c r="M32" i="1"/>
  <c r="N31" i="1"/>
  <c r="M31" i="1"/>
  <c r="N30" i="1"/>
  <c r="M30" i="1"/>
  <c r="N29" i="1"/>
  <c r="M29" i="1"/>
  <c r="N28" i="1"/>
  <c r="M28" i="1"/>
  <c r="N27" i="1"/>
  <c r="M27" i="1"/>
  <c r="N26" i="1"/>
  <c r="M26" i="1"/>
  <c r="N25" i="1"/>
  <c r="M25" i="1"/>
  <c r="N24" i="1"/>
  <c r="M24" i="1"/>
  <c r="N23" i="1"/>
  <c r="M23" i="1"/>
  <c r="N22" i="1"/>
  <c r="M22" i="1"/>
  <c r="N21" i="1"/>
  <c r="M21" i="1"/>
  <c r="N20" i="1"/>
  <c r="M20" i="1"/>
  <c r="N19" i="1"/>
  <c r="M19" i="1"/>
  <c r="N18" i="1"/>
  <c r="M18" i="1"/>
  <c r="N17" i="1"/>
  <c r="M17" i="1"/>
  <c r="N16" i="1"/>
  <c r="M16" i="1"/>
  <c r="N15" i="1"/>
  <c r="M15" i="1"/>
  <c r="N14" i="1"/>
  <c r="M14" i="1"/>
  <c r="N13" i="1"/>
  <c r="M13" i="1"/>
  <c r="N12" i="1"/>
  <c r="M12" i="1"/>
  <c r="N11" i="1"/>
  <c r="M11" i="1"/>
  <c r="N10" i="1"/>
  <c r="M10" i="1"/>
  <c r="N9" i="1"/>
  <c r="M9" i="1"/>
  <c r="N8" i="1"/>
  <c r="M8" i="1"/>
  <c r="N7" i="1"/>
  <c r="M7" i="1"/>
  <c r="N6" i="1"/>
  <c r="M6" i="1"/>
  <c r="N5" i="1"/>
  <c r="M5" i="1"/>
  <c r="N4" i="1"/>
  <c r="M4" i="1"/>
  <c r="N3" i="1"/>
  <c r="M3" i="1"/>
  <c r="M2" i="1"/>
  <c r="P2" i="1" l="1"/>
  <c r="R2" i="1"/>
  <c r="Q2" i="1"/>
</calcChain>
</file>

<file path=xl/sharedStrings.xml><?xml version="1.0" encoding="utf-8"?>
<sst xmlns="http://schemas.openxmlformats.org/spreadsheetml/2006/main" count="4430" uniqueCount="1072">
  <si>
    <t>Lead ID</t>
  </si>
  <si>
    <t>Store Name</t>
  </si>
  <si>
    <t>Lead Type</t>
  </si>
  <si>
    <t>Lead Date</t>
  </si>
  <si>
    <t>Pre-Booking Date</t>
  </si>
  <si>
    <t>Booking Date</t>
  </si>
  <si>
    <t>Delivery Date</t>
  </si>
  <si>
    <t>Cancellation Status</t>
  </si>
  <si>
    <t>Cancellation Reason</t>
  </si>
  <si>
    <t>Service Follow-up Date</t>
  </si>
  <si>
    <t>Customer Rating</t>
  </si>
  <si>
    <t>L1000</t>
  </si>
  <si>
    <t>Warm</t>
  </si>
  <si>
    <t>No</t>
  </si>
  <si>
    <t>L1001</t>
  </si>
  <si>
    <t>L1002</t>
  </si>
  <si>
    <t>Cold</t>
  </si>
  <si>
    <t>Yes</t>
  </si>
  <si>
    <t>Other</t>
  </si>
  <si>
    <t>L1003</t>
  </si>
  <si>
    <t>Model Unavailable</t>
  </si>
  <si>
    <t>L1004</t>
  </si>
  <si>
    <t>L1005</t>
  </si>
  <si>
    <t>L1006</t>
  </si>
  <si>
    <t>Hot</t>
  </si>
  <si>
    <t>L1007</t>
  </si>
  <si>
    <t>Changed Mind</t>
  </si>
  <si>
    <t>L1008</t>
  </si>
  <si>
    <t>L1009</t>
  </si>
  <si>
    <t>L1010</t>
  </si>
  <si>
    <t>L1011</t>
  </si>
  <si>
    <t>L1012</t>
  </si>
  <si>
    <t>L1013</t>
  </si>
  <si>
    <t>L1014</t>
  </si>
  <si>
    <t>L1015</t>
  </si>
  <si>
    <t>L1016</t>
  </si>
  <si>
    <t>L1017</t>
  </si>
  <si>
    <t>L1018</t>
  </si>
  <si>
    <t>L1019</t>
  </si>
  <si>
    <t>L1020</t>
  </si>
  <si>
    <t>L1021</t>
  </si>
  <si>
    <t>L1022</t>
  </si>
  <si>
    <t>L1023</t>
  </si>
  <si>
    <t>L1024</t>
  </si>
  <si>
    <t>L1025</t>
  </si>
  <si>
    <t>L1026</t>
  </si>
  <si>
    <t>L1027</t>
  </si>
  <si>
    <t>L1028</t>
  </si>
  <si>
    <t>L1029</t>
  </si>
  <si>
    <t>L1030</t>
  </si>
  <si>
    <t>L1031</t>
  </si>
  <si>
    <t>L1032</t>
  </si>
  <si>
    <t>L1033</t>
  </si>
  <si>
    <t>L1034</t>
  </si>
  <si>
    <t>L1035</t>
  </si>
  <si>
    <t>L1036</t>
  </si>
  <si>
    <t>Financing Issue</t>
  </si>
  <si>
    <t>L1037</t>
  </si>
  <si>
    <t>L1038</t>
  </si>
  <si>
    <t>L1039</t>
  </si>
  <si>
    <t>L1040</t>
  </si>
  <si>
    <t>L1041</t>
  </si>
  <si>
    <t>L1042</t>
  </si>
  <si>
    <t>L1043</t>
  </si>
  <si>
    <t>L1044</t>
  </si>
  <si>
    <t>L1045</t>
  </si>
  <si>
    <t>L1046</t>
  </si>
  <si>
    <t>L1047</t>
  </si>
  <si>
    <t>L1048</t>
  </si>
  <si>
    <t>L1049</t>
  </si>
  <si>
    <t>L1050</t>
  </si>
  <si>
    <t>L1051</t>
  </si>
  <si>
    <t>L1052</t>
  </si>
  <si>
    <t>L1053</t>
  </si>
  <si>
    <t>L1054</t>
  </si>
  <si>
    <t>L1055</t>
  </si>
  <si>
    <t>L1056</t>
  </si>
  <si>
    <t>L1057</t>
  </si>
  <si>
    <t>L1058</t>
  </si>
  <si>
    <t>L1059</t>
  </si>
  <si>
    <t>L1060</t>
  </si>
  <si>
    <t>L1061</t>
  </si>
  <si>
    <t>L1062</t>
  </si>
  <si>
    <t>L1063</t>
  </si>
  <si>
    <t>L1064</t>
  </si>
  <si>
    <t>L1065</t>
  </si>
  <si>
    <t>L1066</t>
  </si>
  <si>
    <t>L1067</t>
  </si>
  <si>
    <t>L1068</t>
  </si>
  <si>
    <t>L1069</t>
  </si>
  <si>
    <t>L1070</t>
  </si>
  <si>
    <t>L1071</t>
  </si>
  <si>
    <t>L1072</t>
  </si>
  <si>
    <t>L1073</t>
  </si>
  <si>
    <t>Price</t>
  </si>
  <si>
    <t>L1074</t>
  </si>
  <si>
    <t>L1075</t>
  </si>
  <si>
    <t>L1076</t>
  </si>
  <si>
    <t>L1077</t>
  </si>
  <si>
    <t>L1078</t>
  </si>
  <si>
    <t>L1079</t>
  </si>
  <si>
    <t>L1080</t>
  </si>
  <si>
    <t>L1081</t>
  </si>
  <si>
    <t>L1082</t>
  </si>
  <si>
    <t>L1083</t>
  </si>
  <si>
    <t>L1084</t>
  </si>
  <si>
    <t>L1085</t>
  </si>
  <si>
    <t>L1086</t>
  </si>
  <si>
    <t>L1087</t>
  </si>
  <si>
    <t>L1088</t>
  </si>
  <si>
    <t>L1089</t>
  </si>
  <si>
    <t>L1090</t>
  </si>
  <si>
    <t>L1091</t>
  </si>
  <si>
    <t>L1092</t>
  </si>
  <si>
    <t>L1093</t>
  </si>
  <si>
    <t>L1094</t>
  </si>
  <si>
    <t>L1095</t>
  </si>
  <si>
    <t>L1096</t>
  </si>
  <si>
    <t>L1097</t>
  </si>
  <si>
    <t>L1098</t>
  </si>
  <si>
    <t>L1099</t>
  </si>
  <si>
    <t>L1100</t>
  </si>
  <si>
    <t>L1101</t>
  </si>
  <si>
    <t>L1102</t>
  </si>
  <si>
    <t>L1103</t>
  </si>
  <si>
    <t>L1104</t>
  </si>
  <si>
    <t>L1105</t>
  </si>
  <si>
    <t>L1106</t>
  </si>
  <si>
    <t>L1107</t>
  </si>
  <si>
    <t>L1108</t>
  </si>
  <si>
    <t>L1109</t>
  </si>
  <si>
    <t>L1110</t>
  </si>
  <si>
    <t>L1111</t>
  </si>
  <si>
    <t>L1112</t>
  </si>
  <si>
    <t>L1113</t>
  </si>
  <si>
    <t>L1114</t>
  </si>
  <si>
    <t>L1115</t>
  </si>
  <si>
    <t>L1116</t>
  </si>
  <si>
    <t>L1117</t>
  </si>
  <si>
    <t>L1118</t>
  </si>
  <si>
    <t>L1119</t>
  </si>
  <si>
    <t>L1120</t>
  </si>
  <si>
    <t>L1121</t>
  </si>
  <si>
    <t>L1122</t>
  </si>
  <si>
    <t>L1123</t>
  </si>
  <si>
    <t>L1124</t>
  </si>
  <si>
    <t>L1125</t>
  </si>
  <si>
    <t>L1126</t>
  </si>
  <si>
    <t>L1127</t>
  </si>
  <si>
    <t>L1128</t>
  </si>
  <si>
    <t>L1129</t>
  </si>
  <si>
    <t>L1130</t>
  </si>
  <si>
    <t>L1131</t>
  </si>
  <si>
    <t>L1132</t>
  </si>
  <si>
    <t>L1133</t>
  </si>
  <si>
    <t>L1134</t>
  </si>
  <si>
    <t>L1135</t>
  </si>
  <si>
    <t>L1136</t>
  </si>
  <si>
    <t>L1137</t>
  </si>
  <si>
    <t>L1138</t>
  </si>
  <si>
    <t>L1139</t>
  </si>
  <si>
    <t>L1140</t>
  </si>
  <si>
    <t>L1141</t>
  </si>
  <si>
    <t>L1142</t>
  </si>
  <si>
    <t>L1143</t>
  </si>
  <si>
    <t>L1144</t>
  </si>
  <si>
    <t>L1145</t>
  </si>
  <si>
    <t>L1146</t>
  </si>
  <si>
    <t>L1147</t>
  </si>
  <si>
    <t>L1148</t>
  </si>
  <si>
    <t>L1149</t>
  </si>
  <si>
    <t>L1150</t>
  </si>
  <si>
    <t>L1151</t>
  </si>
  <si>
    <t>L1152</t>
  </si>
  <si>
    <t>L1153</t>
  </si>
  <si>
    <t>L1154</t>
  </si>
  <si>
    <t>L1155</t>
  </si>
  <si>
    <t>L1156</t>
  </si>
  <si>
    <t>L1157</t>
  </si>
  <si>
    <t>L1158</t>
  </si>
  <si>
    <t>L1159</t>
  </si>
  <si>
    <t>L1160</t>
  </si>
  <si>
    <t>L1161</t>
  </si>
  <si>
    <t>L1162</t>
  </si>
  <si>
    <t>L1163</t>
  </si>
  <si>
    <t>L1164</t>
  </si>
  <si>
    <t>L1165</t>
  </si>
  <si>
    <t>L1166</t>
  </si>
  <si>
    <t>L1167</t>
  </si>
  <si>
    <t>L1168</t>
  </si>
  <si>
    <t>L1169</t>
  </si>
  <si>
    <t>L1170</t>
  </si>
  <si>
    <t>L1171</t>
  </si>
  <si>
    <t>L1172</t>
  </si>
  <si>
    <t>L1173</t>
  </si>
  <si>
    <t>L1174</t>
  </si>
  <si>
    <t>L1175</t>
  </si>
  <si>
    <t>L1176</t>
  </si>
  <si>
    <t>L1177</t>
  </si>
  <si>
    <t>L1178</t>
  </si>
  <si>
    <t>L1179</t>
  </si>
  <si>
    <t>L1180</t>
  </si>
  <si>
    <t>L1181</t>
  </si>
  <si>
    <t>L1182</t>
  </si>
  <si>
    <t>L1183</t>
  </si>
  <si>
    <t>L1184</t>
  </si>
  <si>
    <t>L1185</t>
  </si>
  <si>
    <t>L1186</t>
  </si>
  <si>
    <t>L1187</t>
  </si>
  <si>
    <t>L1188</t>
  </si>
  <si>
    <t>L1189</t>
  </si>
  <si>
    <t>L1190</t>
  </si>
  <si>
    <t>L1191</t>
  </si>
  <si>
    <t>L1192</t>
  </si>
  <si>
    <t>L1193</t>
  </si>
  <si>
    <t>L1194</t>
  </si>
  <si>
    <t>L1195</t>
  </si>
  <si>
    <t>L1196</t>
  </si>
  <si>
    <t>L1197</t>
  </si>
  <si>
    <t>L1198</t>
  </si>
  <si>
    <t>L1199</t>
  </si>
  <si>
    <t>L1200</t>
  </si>
  <si>
    <t>L1201</t>
  </si>
  <si>
    <t>L1202</t>
  </si>
  <si>
    <t>L1203</t>
  </si>
  <si>
    <t>L1204</t>
  </si>
  <si>
    <t>L1205</t>
  </si>
  <si>
    <t>L1206</t>
  </si>
  <si>
    <t>L1207</t>
  </si>
  <si>
    <t>L1208</t>
  </si>
  <si>
    <t>L1209</t>
  </si>
  <si>
    <t>L1210</t>
  </si>
  <si>
    <t>L1211</t>
  </si>
  <si>
    <t>L1212</t>
  </si>
  <si>
    <t>L1213</t>
  </si>
  <si>
    <t>L1214</t>
  </si>
  <si>
    <t>L1215</t>
  </si>
  <si>
    <t>L1216</t>
  </si>
  <si>
    <t>L1217</t>
  </si>
  <si>
    <t>L1218</t>
  </si>
  <si>
    <t>L1219</t>
  </si>
  <si>
    <t>L1220</t>
  </si>
  <si>
    <t>L1221</t>
  </si>
  <si>
    <t>L1222</t>
  </si>
  <si>
    <t>L1223</t>
  </si>
  <si>
    <t>L1224</t>
  </si>
  <si>
    <t>L1225</t>
  </si>
  <si>
    <t>L1226</t>
  </si>
  <si>
    <t>L1227</t>
  </si>
  <si>
    <t>L1228</t>
  </si>
  <si>
    <t>L1229</t>
  </si>
  <si>
    <t>L1230</t>
  </si>
  <si>
    <t>L1231</t>
  </si>
  <si>
    <t>L1232</t>
  </si>
  <si>
    <t>L1233</t>
  </si>
  <si>
    <t>L1234</t>
  </si>
  <si>
    <t>L1235</t>
  </si>
  <si>
    <t>L1236</t>
  </si>
  <si>
    <t>L1237</t>
  </si>
  <si>
    <t>L1238</t>
  </si>
  <si>
    <t>L1239</t>
  </si>
  <si>
    <t>L1240</t>
  </si>
  <si>
    <t>L1241</t>
  </si>
  <si>
    <t>L1242</t>
  </si>
  <si>
    <t>L1243</t>
  </si>
  <si>
    <t>L1244</t>
  </si>
  <si>
    <t>L1245</t>
  </si>
  <si>
    <t>L1246</t>
  </si>
  <si>
    <t>L1247</t>
  </si>
  <si>
    <t>L1248</t>
  </si>
  <si>
    <t>L1249</t>
  </si>
  <si>
    <t>L1250</t>
  </si>
  <si>
    <t>L1251</t>
  </si>
  <si>
    <t>L1252</t>
  </si>
  <si>
    <t>L1253</t>
  </si>
  <si>
    <t>L1254</t>
  </si>
  <si>
    <t>L1255</t>
  </si>
  <si>
    <t>L1256</t>
  </si>
  <si>
    <t>L1257</t>
  </si>
  <si>
    <t>L1258</t>
  </si>
  <si>
    <t>L1259</t>
  </si>
  <si>
    <t>L1260</t>
  </si>
  <si>
    <t>L1261</t>
  </si>
  <si>
    <t>L1262</t>
  </si>
  <si>
    <t>L1263</t>
  </si>
  <si>
    <t>L1264</t>
  </si>
  <si>
    <t>L1265</t>
  </si>
  <si>
    <t>L1266</t>
  </si>
  <si>
    <t>L1267</t>
  </si>
  <si>
    <t>L1268</t>
  </si>
  <si>
    <t>L1269</t>
  </si>
  <si>
    <t>L1270</t>
  </si>
  <si>
    <t>L1271</t>
  </si>
  <si>
    <t>L1272</t>
  </si>
  <si>
    <t>L1273</t>
  </si>
  <si>
    <t>L1274</t>
  </si>
  <si>
    <t>L1275</t>
  </si>
  <si>
    <t>L1276</t>
  </si>
  <si>
    <t>L1277</t>
  </si>
  <si>
    <t>L1278</t>
  </si>
  <si>
    <t>L1279</t>
  </si>
  <si>
    <t>L1280</t>
  </si>
  <si>
    <t>L1281</t>
  </si>
  <si>
    <t>L1282</t>
  </si>
  <si>
    <t>L1283</t>
  </si>
  <si>
    <t>L1284</t>
  </si>
  <si>
    <t>L1285</t>
  </si>
  <si>
    <t>L1286</t>
  </si>
  <si>
    <t>L1287</t>
  </si>
  <si>
    <t>L1288</t>
  </si>
  <si>
    <t>L1289</t>
  </si>
  <si>
    <t>L1290</t>
  </si>
  <si>
    <t>L1291</t>
  </si>
  <si>
    <t>L1292</t>
  </si>
  <si>
    <t>L1293</t>
  </si>
  <si>
    <t>L1294</t>
  </si>
  <si>
    <t>L1295</t>
  </si>
  <si>
    <t>L1296</t>
  </si>
  <si>
    <t>L1297</t>
  </si>
  <si>
    <t>L1298</t>
  </si>
  <si>
    <t>L1299</t>
  </si>
  <si>
    <t>L1300</t>
  </si>
  <si>
    <t>L1301</t>
  </si>
  <si>
    <t>L1302</t>
  </si>
  <si>
    <t>L1303</t>
  </si>
  <si>
    <t>L1304</t>
  </si>
  <si>
    <t>L1305</t>
  </si>
  <si>
    <t>L1306</t>
  </si>
  <si>
    <t>L1307</t>
  </si>
  <si>
    <t>L1308</t>
  </si>
  <si>
    <t>L1309</t>
  </si>
  <si>
    <t>L1310</t>
  </si>
  <si>
    <t>L1311</t>
  </si>
  <si>
    <t>L1312</t>
  </si>
  <si>
    <t>L1313</t>
  </si>
  <si>
    <t>L1314</t>
  </si>
  <si>
    <t>L1315</t>
  </si>
  <si>
    <t>L1316</t>
  </si>
  <si>
    <t>L1317</t>
  </si>
  <si>
    <t>L1318</t>
  </si>
  <si>
    <t>L1319</t>
  </si>
  <si>
    <t>L1320</t>
  </si>
  <si>
    <t>L1321</t>
  </si>
  <si>
    <t>L1322</t>
  </si>
  <si>
    <t>L1323</t>
  </si>
  <si>
    <t>L1324</t>
  </si>
  <si>
    <t>L1325</t>
  </si>
  <si>
    <t>L1326</t>
  </si>
  <si>
    <t>L1327</t>
  </si>
  <si>
    <t>L1328</t>
  </si>
  <si>
    <t>L1329</t>
  </si>
  <si>
    <t>L1330</t>
  </si>
  <si>
    <t>L1331</t>
  </si>
  <si>
    <t>L1332</t>
  </si>
  <si>
    <t>L1333</t>
  </si>
  <si>
    <t>L1334</t>
  </si>
  <si>
    <t>L1335</t>
  </si>
  <si>
    <t>L1336</t>
  </si>
  <si>
    <t>L1337</t>
  </si>
  <si>
    <t>L1338</t>
  </si>
  <si>
    <t>L1339</t>
  </si>
  <si>
    <t>L1340</t>
  </si>
  <si>
    <t>L1341</t>
  </si>
  <si>
    <t>L1342</t>
  </si>
  <si>
    <t>L1343</t>
  </si>
  <si>
    <t>L1344</t>
  </si>
  <si>
    <t>L1345</t>
  </si>
  <si>
    <t>L1346</t>
  </si>
  <si>
    <t>L1347</t>
  </si>
  <si>
    <t>L1348</t>
  </si>
  <si>
    <t>L1349</t>
  </si>
  <si>
    <t>L1350</t>
  </si>
  <si>
    <t>L1351</t>
  </si>
  <si>
    <t>L1352</t>
  </si>
  <si>
    <t>L1353</t>
  </si>
  <si>
    <t>L1354</t>
  </si>
  <si>
    <t>L1355</t>
  </si>
  <si>
    <t>L1356</t>
  </si>
  <si>
    <t>L1357</t>
  </si>
  <si>
    <t>L1358</t>
  </si>
  <si>
    <t>L1359</t>
  </si>
  <si>
    <t>L1360</t>
  </si>
  <si>
    <t>L1361</t>
  </si>
  <si>
    <t>L1362</t>
  </si>
  <si>
    <t>L1363</t>
  </si>
  <si>
    <t>L1364</t>
  </si>
  <si>
    <t>L1365</t>
  </si>
  <si>
    <t>L1366</t>
  </si>
  <si>
    <t>L1367</t>
  </si>
  <si>
    <t>L1368</t>
  </si>
  <si>
    <t>L1369</t>
  </si>
  <si>
    <t>L1370</t>
  </si>
  <si>
    <t>L1371</t>
  </si>
  <si>
    <t>L1372</t>
  </si>
  <si>
    <t>L1373</t>
  </si>
  <si>
    <t>L1374</t>
  </si>
  <si>
    <t>L1375</t>
  </si>
  <si>
    <t>L1376</t>
  </si>
  <si>
    <t>L1377</t>
  </si>
  <si>
    <t>L1378</t>
  </si>
  <si>
    <t>L1379</t>
  </si>
  <si>
    <t>L1380</t>
  </si>
  <si>
    <t>L1381</t>
  </si>
  <si>
    <t>L1382</t>
  </si>
  <si>
    <t>L1383</t>
  </si>
  <si>
    <t>L1384</t>
  </si>
  <si>
    <t>L1385</t>
  </si>
  <si>
    <t>L1386</t>
  </si>
  <si>
    <t>L1387</t>
  </si>
  <si>
    <t>L1388</t>
  </si>
  <si>
    <t>L1389</t>
  </si>
  <si>
    <t>L1390</t>
  </si>
  <si>
    <t>L1391</t>
  </si>
  <si>
    <t>L1392</t>
  </si>
  <si>
    <t>L1393</t>
  </si>
  <si>
    <t>L1394</t>
  </si>
  <si>
    <t>L1395</t>
  </si>
  <si>
    <t>L1396</t>
  </si>
  <si>
    <t>L1397</t>
  </si>
  <si>
    <t>L1398</t>
  </si>
  <si>
    <t>L1399</t>
  </si>
  <si>
    <t>L1400</t>
  </si>
  <si>
    <t>L1401</t>
  </si>
  <si>
    <t>L1402</t>
  </si>
  <si>
    <t>L1403</t>
  </si>
  <si>
    <t>L1404</t>
  </si>
  <si>
    <t>L1405</t>
  </si>
  <si>
    <t>L1406</t>
  </si>
  <si>
    <t>L1407</t>
  </si>
  <si>
    <t>L1408</t>
  </si>
  <si>
    <t>L1409</t>
  </si>
  <si>
    <t>L1410</t>
  </si>
  <si>
    <t>L1411</t>
  </si>
  <si>
    <t>L1412</t>
  </si>
  <si>
    <t>L1413</t>
  </si>
  <si>
    <t>L1414</t>
  </si>
  <si>
    <t>L1415</t>
  </si>
  <si>
    <t>L1416</t>
  </si>
  <si>
    <t>L1417</t>
  </si>
  <si>
    <t>L1418</t>
  </si>
  <si>
    <t>L1419</t>
  </si>
  <si>
    <t>L1420</t>
  </si>
  <si>
    <t>L1421</t>
  </si>
  <si>
    <t>L1422</t>
  </si>
  <si>
    <t>L1423</t>
  </si>
  <si>
    <t>L1424</t>
  </si>
  <si>
    <t>L1425</t>
  </si>
  <si>
    <t>L1426</t>
  </si>
  <si>
    <t>L1427</t>
  </si>
  <si>
    <t>L1428</t>
  </si>
  <si>
    <t>L1429</t>
  </si>
  <si>
    <t>L1430</t>
  </si>
  <si>
    <t>L1431</t>
  </si>
  <si>
    <t>L1432</t>
  </si>
  <si>
    <t>L1433</t>
  </si>
  <si>
    <t>L1434</t>
  </si>
  <si>
    <t>L1435</t>
  </si>
  <si>
    <t>L1436</t>
  </si>
  <si>
    <t>L1437</t>
  </si>
  <si>
    <t>L1438</t>
  </si>
  <si>
    <t>L1439</t>
  </si>
  <si>
    <t>L1440</t>
  </si>
  <si>
    <t>L1441</t>
  </si>
  <si>
    <t>L1442</t>
  </si>
  <si>
    <t>L1443</t>
  </si>
  <si>
    <t>L1444</t>
  </si>
  <si>
    <t>L1445</t>
  </si>
  <si>
    <t>L1446</t>
  </si>
  <si>
    <t>L1447</t>
  </si>
  <si>
    <t>L1448</t>
  </si>
  <si>
    <t>L1449</t>
  </si>
  <si>
    <t>L1450</t>
  </si>
  <si>
    <t>L1451</t>
  </si>
  <si>
    <t>L1452</t>
  </si>
  <si>
    <t>L1453</t>
  </si>
  <si>
    <t>L1454</t>
  </si>
  <si>
    <t>L1455</t>
  </si>
  <si>
    <t>L1456</t>
  </si>
  <si>
    <t>L1457</t>
  </si>
  <si>
    <t>L1458</t>
  </si>
  <si>
    <t>L1459</t>
  </si>
  <si>
    <t>L1460</t>
  </si>
  <si>
    <t>L1461</t>
  </si>
  <si>
    <t>L1462</t>
  </si>
  <si>
    <t>L1463</t>
  </si>
  <si>
    <t>L1464</t>
  </si>
  <si>
    <t>L1465</t>
  </si>
  <si>
    <t>L1466</t>
  </si>
  <si>
    <t>L1467</t>
  </si>
  <si>
    <t>L1468</t>
  </si>
  <si>
    <t>L1469</t>
  </si>
  <si>
    <t>L1470</t>
  </si>
  <si>
    <t>L1471</t>
  </si>
  <si>
    <t>L1472</t>
  </si>
  <si>
    <t>L1473</t>
  </si>
  <si>
    <t>L1474</t>
  </si>
  <si>
    <t>L1475</t>
  </si>
  <si>
    <t>L1476</t>
  </si>
  <si>
    <t>L1477</t>
  </si>
  <si>
    <t>L1478</t>
  </si>
  <si>
    <t>L1479</t>
  </si>
  <si>
    <t>L1480</t>
  </si>
  <si>
    <t>L1481</t>
  </si>
  <si>
    <t>L1482</t>
  </si>
  <si>
    <t>L1483</t>
  </si>
  <si>
    <t>L1484</t>
  </si>
  <si>
    <t>L1485</t>
  </si>
  <si>
    <t>L1486</t>
  </si>
  <si>
    <t>L1487</t>
  </si>
  <si>
    <t>L1488</t>
  </si>
  <si>
    <t>L1489</t>
  </si>
  <si>
    <t>L1490</t>
  </si>
  <si>
    <t>L1491</t>
  </si>
  <si>
    <t>L1492</t>
  </si>
  <si>
    <t>L1493</t>
  </si>
  <si>
    <t>L1494</t>
  </si>
  <si>
    <t>L1495</t>
  </si>
  <si>
    <t>L1496</t>
  </si>
  <si>
    <t>L1497</t>
  </si>
  <si>
    <t>L1498</t>
  </si>
  <si>
    <t>L1499</t>
  </si>
  <si>
    <t>L1500</t>
  </si>
  <si>
    <t>L1501</t>
  </si>
  <si>
    <t>L1502</t>
  </si>
  <si>
    <t>L1503</t>
  </si>
  <si>
    <t>L1504</t>
  </si>
  <si>
    <t>L1505</t>
  </si>
  <si>
    <t>L1506</t>
  </si>
  <si>
    <t>L1507</t>
  </si>
  <si>
    <t>L1508</t>
  </si>
  <si>
    <t>L1509</t>
  </si>
  <si>
    <t>L1510</t>
  </si>
  <si>
    <t>L1511</t>
  </si>
  <si>
    <t>L1512</t>
  </si>
  <si>
    <t>L1513</t>
  </si>
  <si>
    <t>L1514</t>
  </si>
  <si>
    <t>L1515</t>
  </si>
  <si>
    <t>L1516</t>
  </si>
  <si>
    <t>L1517</t>
  </si>
  <si>
    <t>L1518</t>
  </si>
  <si>
    <t>L1519</t>
  </si>
  <si>
    <t>L1520</t>
  </si>
  <si>
    <t>L1521</t>
  </si>
  <si>
    <t>L1522</t>
  </si>
  <si>
    <t>L1523</t>
  </si>
  <si>
    <t>L1524</t>
  </si>
  <si>
    <t>L1525</t>
  </si>
  <si>
    <t>L1526</t>
  </si>
  <si>
    <t>L1527</t>
  </si>
  <si>
    <t>L1528</t>
  </si>
  <si>
    <t>L1529</t>
  </si>
  <si>
    <t>L1530</t>
  </si>
  <si>
    <t>L1531</t>
  </si>
  <si>
    <t>L1532</t>
  </si>
  <si>
    <t>L1533</t>
  </si>
  <si>
    <t>L1534</t>
  </si>
  <si>
    <t>L1535</t>
  </si>
  <si>
    <t>L1536</t>
  </si>
  <si>
    <t>L1537</t>
  </si>
  <si>
    <t>L1538</t>
  </si>
  <si>
    <t>L1539</t>
  </si>
  <si>
    <t>L1540</t>
  </si>
  <si>
    <t>L1541</t>
  </si>
  <si>
    <t>L1542</t>
  </si>
  <si>
    <t>L1543</t>
  </si>
  <si>
    <t>L1544</t>
  </si>
  <si>
    <t>L1545</t>
  </si>
  <si>
    <t>L1546</t>
  </si>
  <si>
    <t>L1547</t>
  </si>
  <si>
    <t>L1548</t>
  </si>
  <si>
    <t>L1549</t>
  </si>
  <si>
    <t>L1550</t>
  </si>
  <si>
    <t>L1551</t>
  </si>
  <si>
    <t>L1552</t>
  </si>
  <si>
    <t>L1553</t>
  </si>
  <si>
    <t>L1554</t>
  </si>
  <si>
    <t>L1555</t>
  </si>
  <si>
    <t>L1556</t>
  </si>
  <si>
    <t>L1557</t>
  </si>
  <si>
    <t>L1558</t>
  </si>
  <si>
    <t>L1559</t>
  </si>
  <si>
    <t>L1560</t>
  </si>
  <si>
    <t>L1561</t>
  </si>
  <si>
    <t>L1562</t>
  </si>
  <si>
    <t>L1563</t>
  </si>
  <si>
    <t>L1564</t>
  </si>
  <si>
    <t>L1565</t>
  </si>
  <si>
    <t>L1566</t>
  </si>
  <si>
    <t>L1567</t>
  </si>
  <si>
    <t>L1568</t>
  </si>
  <si>
    <t>L1569</t>
  </si>
  <si>
    <t>L1570</t>
  </si>
  <si>
    <t>L1571</t>
  </si>
  <si>
    <t>L1572</t>
  </si>
  <si>
    <t>L1573</t>
  </si>
  <si>
    <t>L1574</t>
  </si>
  <si>
    <t>L1575</t>
  </si>
  <si>
    <t>L1576</t>
  </si>
  <si>
    <t>L1577</t>
  </si>
  <si>
    <t>L1578</t>
  </si>
  <si>
    <t>L1579</t>
  </si>
  <si>
    <t>L1580</t>
  </si>
  <si>
    <t>L1581</t>
  </si>
  <si>
    <t>L1582</t>
  </si>
  <si>
    <t>L1583</t>
  </si>
  <si>
    <t>L1584</t>
  </si>
  <si>
    <t>L1585</t>
  </si>
  <si>
    <t>L1586</t>
  </si>
  <si>
    <t>L1587</t>
  </si>
  <si>
    <t>L1588</t>
  </si>
  <si>
    <t>L1589</t>
  </si>
  <si>
    <t>L1590</t>
  </si>
  <si>
    <t>L1591</t>
  </si>
  <si>
    <t>L1592</t>
  </si>
  <si>
    <t>L1593</t>
  </si>
  <si>
    <t>L1594</t>
  </si>
  <si>
    <t>L1595</t>
  </si>
  <si>
    <t>L1596</t>
  </si>
  <si>
    <t>L1597</t>
  </si>
  <si>
    <t>L1598</t>
  </si>
  <si>
    <t>L1599</t>
  </si>
  <si>
    <t>L1600</t>
  </si>
  <si>
    <t>L1601</t>
  </si>
  <si>
    <t>L1602</t>
  </si>
  <si>
    <t>L1603</t>
  </si>
  <si>
    <t>L1604</t>
  </si>
  <si>
    <t>L1605</t>
  </si>
  <si>
    <t>L1606</t>
  </si>
  <si>
    <t>L1607</t>
  </si>
  <si>
    <t>L1608</t>
  </si>
  <si>
    <t>L1609</t>
  </si>
  <si>
    <t>L1610</t>
  </si>
  <si>
    <t>L1611</t>
  </si>
  <si>
    <t>L1612</t>
  </si>
  <si>
    <t>L1613</t>
  </si>
  <si>
    <t>L1614</t>
  </si>
  <si>
    <t>L1615</t>
  </si>
  <si>
    <t>L1616</t>
  </si>
  <si>
    <t>L1617</t>
  </si>
  <si>
    <t>L1618</t>
  </si>
  <si>
    <t>L1619</t>
  </si>
  <si>
    <t>L1620</t>
  </si>
  <si>
    <t>L1621</t>
  </si>
  <si>
    <t>L1622</t>
  </si>
  <si>
    <t>L1623</t>
  </si>
  <si>
    <t>L1624</t>
  </si>
  <si>
    <t>L1625</t>
  </si>
  <si>
    <t>L1626</t>
  </si>
  <si>
    <t>L1627</t>
  </si>
  <si>
    <t>L1628</t>
  </si>
  <si>
    <t>L1629</t>
  </si>
  <si>
    <t>L1630</t>
  </si>
  <si>
    <t>L1631</t>
  </si>
  <si>
    <t>L1632</t>
  </si>
  <si>
    <t>L1633</t>
  </si>
  <si>
    <t>L1634</t>
  </si>
  <si>
    <t>L1635</t>
  </si>
  <si>
    <t>L1636</t>
  </si>
  <si>
    <t>L1637</t>
  </si>
  <si>
    <t>L1638</t>
  </si>
  <si>
    <t>L1639</t>
  </si>
  <si>
    <t>L1640</t>
  </si>
  <si>
    <t>L1641</t>
  </si>
  <si>
    <t>L1642</t>
  </si>
  <si>
    <t>L1643</t>
  </si>
  <si>
    <t>L1644</t>
  </si>
  <si>
    <t>L1645</t>
  </si>
  <si>
    <t>L1646</t>
  </si>
  <si>
    <t>L1647</t>
  </si>
  <si>
    <t>L1648</t>
  </si>
  <si>
    <t>L1649</t>
  </si>
  <si>
    <t>L1650</t>
  </si>
  <si>
    <t>L1651</t>
  </si>
  <si>
    <t>L1652</t>
  </si>
  <si>
    <t>L1653</t>
  </si>
  <si>
    <t>L1654</t>
  </si>
  <si>
    <t>L1655</t>
  </si>
  <si>
    <t>L1656</t>
  </si>
  <si>
    <t>L1657</t>
  </si>
  <si>
    <t>L1658</t>
  </si>
  <si>
    <t>L1659</t>
  </si>
  <si>
    <t>L1660</t>
  </si>
  <si>
    <t>L1661</t>
  </si>
  <si>
    <t>L1662</t>
  </si>
  <si>
    <t>L1663</t>
  </si>
  <si>
    <t>L1664</t>
  </si>
  <si>
    <t>L1665</t>
  </si>
  <si>
    <t>L1666</t>
  </si>
  <si>
    <t>L1667</t>
  </si>
  <si>
    <t>L1668</t>
  </si>
  <si>
    <t>L1669</t>
  </si>
  <si>
    <t>L1670</t>
  </si>
  <si>
    <t>L1671</t>
  </si>
  <si>
    <t>L1672</t>
  </si>
  <si>
    <t>L1673</t>
  </si>
  <si>
    <t>L1674</t>
  </si>
  <si>
    <t>L1675</t>
  </si>
  <si>
    <t>L1676</t>
  </si>
  <si>
    <t>L1677</t>
  </si>
  <si>
    <t>L1678</t>
  </si>
  <si>
    <t>L1679</t>
  </si>
  <si>
    <t>L1680</t>
  </si>
  <si>
    <t>L1681</t>
  </si>
  <si>
    <t>L1682</t>
  </si>
  <si>
    <t>L1683</t>
  </si>
  <si>
    <t>L1684</t>
  </si>
  <si>
    <t>L1685</t>
  </si>
  <si>
    <t>L1686</t>
  </si>
  <si>
    <t>L1687</t>
  </si>
  <si>
    <t>L1688</t>
  </si>
  <si>
    <t>L1689</t>
  </si>
  <si>
    <t>L1690</t>
  </si>
  <si>
    <t>L1691</t>
  </si>
  <si>
    <t>L1692</t>
  </si>
  <si>
    <t>L1693</t>
  </si>
  <si>
    <t>L1694</t>
  </si>
  <si>
    <t>L1695</t>
  </si>
  <si>
    <t>L1696</t>
  </si>
  <si>
    <t>L1697</t>
  </si>
  <si>
    <t>L1698</t>
  </si>
  <si>
    <t>L1699</t>
  </si>
  <si>
    <t>L1700</t>
  </si>
  <si>
    <t>L1701</t>
  </si>
  <si>
    <t>L1702</t>
  </si>
  <si>
    <t>L1703</t>
  </si>
  <si>
    <t>L1704</t>
  </si>
  <si>
    <t>L1705</t>
  </si>
  <si>
    <t>L1706</t>
  </si>
  <si>
    <t>L1707</t>
  </si>
  <si>
    <t>L1708</t>
  </si>
  <si>
    <t>L1709</t>
  </si>
  <si>
    <t>L1710</t>
  </si>
  <si>
    <t>L1711</t>
  </si>
  <si>
    <t>L1712</t>
  </si>
  <si>
    <t>L1713</t>
  </si>
  <si>
    <t>L1714</t>
  </si>
  <si>
    <t>L1715</t>
  </si>
  <si>
    <t>L1716</t>
  </si>
  <si>
    <t>L1717</t>
  </si>
  <si>
    <t>L1718</t>
  </si>
  <si>
    <t>L1719</t>
  </si>
  <si>
    <t>L1720</t>
  </si>
  <si>
    <t>L1721</t>
  </si>
  <si>
    <t>L1722</t>
  </si>
  <si>
    <t>L1723</t>
  </si>
  <si>
    <t>L1724</t>
  </si>
  <si>
    <t>L1725</t>
  </si>
  <si>
    <t>L1726</t>
  </si>
  <si>
    <t>L1727</t>
  </si>
  <si>
    <t>L1728</t>
  </si>
  <si>
    <t>L1729</t>
  </si>
  <si>
    <t>L1730</t>
  </si>
  <si>
    <t>L1731</t>
  </si>
  <si>
    <t>L1732</t>
  </si>
  <si>
    <t>L1733</t>
  </si>
  <si>
    <t>L1734</t>
  </si>
  <si>
    <t>L1735</t>
  </si>
  <si>
    <t>L1736</t>
  </si>
  <si>
    <t>L1737</t>
  </si>
  <si>
    <t>L1738</t>
  </si>
  <si>
    <t>L1739</t>
  </si>
  <si>
    <t>L1740</t>
  </si>
  <si>
    <t>L1741</t>
  </si>
  <si>
    <t>L1742</t>
  </si>
  <si>
    <t>L1743</t>
  </si>
  <si>
    <t>L1744</t>
  </si>
  <si>
    <t>L1745</t>
  </si>
  <si>
    <t>L1746</t>
  </si>
  <si>
    <t>L1747</t>
  </si>
  <si>
    <t>L1748</t>
  </si>
  <si>
    <t>L1749</t>
  </si>
  <si>
    <t>L1750</t>
  </si>
  <si>
    <t>L1751</t>
  </si>
  <si>
    <t>L1752</t>
  </si>
  <si>
    <t>L1753</t>
  </si>
  <si>
    <t>L1754</t>
  </si>
  <si>
    <t>L1755</t>
  </si>
  <si>
    <t>L1756</t>
  </si>
  <si>
    <t>L1757</t>
  </si>
  <si>
    <t>L1758</t>
  </si>
  <si>
    <t>L1759</t>
  </si>
  <si>
    <t>L1760</t>
  </si>
  <si>
    <t>L1761</t>
  </si>
  <si>
    <t>L1762</t>
  </si>
  <si>
    <t>L1763</t>
  </si>
  <si>
    <t>L1764</t>
  </si>
  <si>
    <t>L1765</t>
  </si>
  <si>
    <t>L1766</t>
  </si>
  <si>
    <t>L1767</t>
  </si>
  <si>
    <t>L1768</t>
  </si>
  <si>
    <t>L1769</t>
  </si>
  <si>
    <t>L1770</t>
  </si>
  <si>
    <t>L1771</t>
  </si>
  <si>
    <t>L1772</t>
  </si>
  <si>
    <t>L1773</t>
  </si>
  <si>
    <t>L1774</t>
  </si>
  <si>
    <t>L1775</t>
  </si>
  <si>
    <t>L1776</t>
  </si>
  <si>
    <t>L1777</t>
  </si>
  <si>
    <t>L1778</t>
  </si>
  <si>
    <t>L1779</t>
  </si>
  <si>
    <t>L1780</t>
  </si>
  <si>
    <t>L1781</t>
  </si>
  <si>
    <t>L1782</t>
  </si>
  <si>
    <t>L1783</t>
  </si>
  <si>
    <t>L1784</t>
  </si>
  <si>
    <t>L1785</t>
  </si>
  <si>
    <t>L1786</t>
  </si>
  <si>
    <t>L1787</t>
  </si>
  <si>
    <t>L1788</t>
  </si>
  <si>
    <t>L1789</t>
  </si>
  <si>
    <t>L1790</t>
  </si>
  <si>
    <t>L1791</t>
  </si>
  <si>
    <t>L1792</t>
  </si>
  <si>
    <t>L1793</t>
  </si>
  <si>
    <t>L1794</t>
  </si>
  <si>
    <t>L1795</t>
  </si>
  <si>
    <t>L1796</t>
  </si>
  <si>
    <t>L1797</t>
  </si>
  <si>
    <t>L1798</t>
  </si>
  <si>
    <t>L1799</t>
  </si>
  <si>
    <t>L1800</t>
  </si>
  <si>
    <t>L1801</t>
  </si>
  <si>
    <t>L1802</t>
  </si>
  <si>
    <t>L1803</t>
  </si>
  <si>
    <t>L1804</t>
  </si>
  <si>
    <t>L1805</t>
  </si>
  <si>
    <t>L1806</t>
  </si>
  <si>
    <t>L1807</t>
  </si>
  <si>
    <t>L1808</t>
  </si>
  <si>
    <t>L1809</t>
  </si>
  <si>
    <t>L1810</t>
  </si>
  <si>
    <t>L1811</t>
  </si>
  <si>
    <t>L1812</t>
  </si>
  <si>
    <t>L1813</t>
  </si>
  <si>
    <t>L1814</t>
  </si>
  <si>
    <t>L1815</t>
  </si>
  <si>
    <t>L1816</t>
  </si>
  <si>
    <t>L1817</t>
  </si>
  <si>
    <t>L1818</t>
  </si>
  <si>
    <t>L1819</t>
  </si>
  <si>
    <t>L1820</t>
  </si>
  <si>
    <t>L1821</t>
  </si>
  <si>
    <t>L1822</t>
  </si>
  <si>
    <t>L1823</t>
  </si>
  <si>
    <t>L1824</t>
  </si>
  <si>
    <t>L1825</t>
  </si>
  <si>
    <t>L1826</t>
  </si>
  <si>
    <t>L1827</t>
  </si>
  <si>
    <t>L1828</t>
  </si>
  <si>
    <t>L1829</t>
  </si>
  <si>
    <t>L1830</t>
  </si>
  <si>
    <t>L1831</t>
  </si>
  <si>
    <t>L1832</t>
  </si>
  <si>
    <t>L1833</t>
  </si>
  <si>
    <t>L1834</t>
  </si>
  <si>
    <t>L1835</t>
  </si>
  <si>
    <t>L1836</t>
  </si>
  <si>
    <t>L1837</t>
  </si>
  <si>
    <t>L1838</t>
  </si>
  <si>
    <t>L1839</t>
  </si>
  <si>
    <t>L1840</t>
  </si>
  <si>
    <t>L1841</t>
  </si>
  <si>
    <t>L1842</t>
  </si>
  <si>
    <t>L1843</t>
  </si>
  <si>
    <t>L1844</t>
  </si>
  <si>
    <t>L1845</t>
  </si>
  <si>
    <t>L1846</t>
  </si>
  <si>
    <t>L1847</t>
  </si>
  <si>
    <t>L1848</t>
  </si>
  <si>
    <t>L1849</t>
  </si>
  <si>
    <t>L1850</t>
  </si>
  <si>
    <t>L1851</t>
  </si>
  <si>
    <t>L1852</t>
  </si>
  <si>
    <t>L1853</t>
  </si>
  <si>
    <t>L1854</t>
  </si>
  <si>
    <t>L1855</t>
  </si>
  <si>
    <t>L1856</t>
  </si>
  <si>
    <t>L1857</t>
  </si>
  <si>
    <t>L1858</t>
  </si>
  <si>
    <t>L1859</t>
  </si>
  <si>
    <t>L1860</t>
  </si>
  <si>
    <t>L1861</t>
  </si>
  <si>
    <t>L1862</t>
  </si>
  <si>
    <t>L1863</t>
  </si>
  <si>
    <t>L1864</t>
  </si>
  <si>
    <t>L1865</t>
  </si>
  <si>
    <t>L1866</t>
  </si>
  <si>
    <t>L1867</t>
  </si>
  <si>
    <t>L1868</t>
  </si>
  <si>
    <t>L1869</t>
  </si>
  <si>
    <t>L1870</t>
  </si>
  <si>
    <t>L1871</t>
  </si>
  <si>
    <t>L1872</t>
  </si>
  <si>
    <t>L1873</t>
  </si>
  <si>
    <t>L1874</t>
  </si>
  <si>
    <t>L1875</t>
  </si>
  <si>
    <t>L1876</t>
  </si>
  <si>
    <t>L1877</t>
  </si>
  <si>
    <t>L1878</t>
  </si>
  <si>
    <t>L1879</t>
  </si>
  <si>
    <t>L1880</t>
  </si>
  <si>
    <t>L1881</t>
  </si>
  <si>
    <t>L1882</t>
  </si>
  <si>
    <t>L1883</t>
  </si>
  <si>
    <t>L1884</t>
  </si>
  <si>
    <t>L1885</t>
  </si>
  <si>
    <t>L1886</t>
  </si>
  <si>
    <t>L1887</t>
  </si>
  <si>
    <t>L1888</t>
  </si>
  <si>
    <t>L1889</t>
  </si>
  <si>
    <t>L1890</t>
  </si>
  <si>
    <t>L1891</t>
  </si>
  <si>
    <t>L1892</t>
  </si>
  <si>
    <t>L1893</t>
  </si>
  <si>
    <t>L1894</t>
  </si>
  <si>
    <t>L1895</t>
  </si>
  <si>
    <t>L1896</t>
  </si>
  <si>
    <t>L1897</t>
  </si>
  <si>
    <t>L1898</t>
  </si>
  <si>
    <t>L1899</t>
  </si>
  <si>
    <t>L1900</t>
  </si>
  <si>
    <t>L1901</t>
  </si>
  <si>
    <t>L1902</t>
  </si>
  <si>
    <t>L1903</t>
  </si>
  <si>
    <t>L1904</t>
  </si>
  <si>
    <t>L1905</t>
  </si>
  <si>
    <t>L1906</t>
  </si>
  <si>
    <t>L1907</t>
  </si>
  <si>
    <t>L1908</t>
  </si>
  <si>
    <t>L1909</t>
  </si>
  <si>
    <t>L1910</t>
  </si>
  <si>
    <t>L1911</t>
  </si>
  <si>
    <t>L1912</t>
  </si>
  <si>
    <t>L1913</t>
  </si>
  <si>
    <t>L1914</t>
  </si>
  <si>
    <t>L1915</t>
  </si>
  <si>
    <t>L1916</t>
  </si>
  <si>
    <t>L1917</t>
  </si>
  <si>
    <t>L1918</t>
  </si>
  <si>
    <t>L1919</t>
  </si>
  <si>
    <t>L1920</t>
  </si>
  <si>
    <t>L1921</t>
  </si>
  <si>
    <t>L1922</t>
  </si>
  <si>
    <t>L1923</t>
  </si>
  <si>
    <t>L1924</t>
  </si>
  <si>
    <t>L1925</t>
  </si>
  <si>
    <t>L1926</t>
  </si>
  <si>
    <t>L1927</t>
  </si>
  <si>
    <t>L1928</t>
  </si>
  <si>
    <t>L1929</t>
  </si>
  <si>
    <t>L1930</t>
  </si>
  <si>
    <t>L1931</t>
  </si>
  <si>
    <t>L1932</t>
  </si>
  <si>
    <t>L1933</t>
  </si>
  <si>
    <t>L1934</t>
  </si>
  <si>
    <t>L1935</t>
  </si>
  <si>
    <t>L1936</t>
  </si>
  <si>
    <t>L1937</t>
  </si>
  <si>
    <t>L1938</t>
  </si>
  <si>
    <t>L1939</t>
  </si>
  <si>
    <t>L1940</t>
  </si>
  <si>
    <t>L1941</t>
  </si>
  <si>
    <t>L1942</t>
  </si>
  <si>
    <t>L1943</t>
  </si>
  <si>
    <t>L1944</t>
  </si>
  <si>
    <t>L1945</t>
  </si>
  <si>
    <t>L1946</t>
  </si>
  <si>
    <t>L1947</t>
  </si>
  <si>
    <t>L1948</t>
  </si>
  <si>
    <t>L1949</t>
  </si>
  <si>
    <t>L1950</t>
  </si>
  <si>
    <t>L1951</t>
  </si>
  <si>
    <t>L1952</t>
  </si>
  <si>
    <t>L1953</t>
  </si>
  <si>
    <t>L1954</t>
  </si>
  <si>
    <t>L1955</t>
  </si>
  <si>
    <t>L1956</t>
  </si>
  <si>
    <t>L1957</t>
  </si>
  <si>
    <t>L1958</t>
  </si>
  <si>
    <t>L1959</t>
  </si>
  <si>
    <t>L1960</t>
  </si>
  <si>
    <t>L1961</t>
  </si>
  <si>
    <t>L1962</t>
  </si>
  <si>
    <t>L1963</t>
  </si>
  <si>
    <t>L1964</t>
  </si>
  <si>
    <t>L1965</t>
  </si>
  <si>
    <t>L1966</t>
  </si>
  <si>
    <t>L1967</t>
  </si>
  <si>
    <t>L1968</t>
  </si>
  <si>
    <t>L1969</t>
  </si>
  <si>
    <t>L1970</t>
  </si>
  <si>
    <t>L1971</t>
  </si>
  <si>
    <t>L1972</t>
  </si>
  <si>
    <t>L1973</t>
  </si>
  <si>
    <t>L1974</t>
  </si>
  <si>
    <t>L1975</t>
  </si>
  <si>
    <t>L1976</t>
  </si>
  <si>
    <t>L1977</t>
  </si>
  <si>
    <t>L1978</t>
  </si>
  <si>
    <t>L1979</t>
  </si>
  <si>
    <t>L1980</t>
  </si>
  <si>
    <t>L1981</t>
  </si>
  <si>
    <t>L1982</t>
  </si>
  <si>
    <t>L1983</t>
  </si>
  <si>
    <t>L1984</t>
  </si>
  <si>
    <t>L1985</t>
  </si>
  <si>
    <t>L1986</t>
  </si>
  <si>
    <t>L1987</t>
  </si>
  <si>
    <t>L1988</t>
  </si>
  <si>
    <t>L1989</t>
  </si>
  <si>
    <t>L1990</t>
  </si>
  <si>
    <t>L1991</t>
  </si>
  <si>
    <t>L1992</t>
  </si>
  <si>
    <t>L1993</t>
  </si>
  <si>
    <t>L1994</t>
  </si>
  <si>
    <t>L1995</t>
  </si>
  <si>
    <t>L1996</t>
  </si>
  <si>
    <t>L1997</t>
  </si>
  <si>
    <t>L1998</t>
  </si>
  <si>
    <t>L1999</t>
  </si>
  <si>
    <t>Bangalore</t>
  </si>
  <si>
    <t>Delhi</t>
  </si>
  <si>
    <t>Mumbai</t>
  </si>
  <si>
    <t>Chennai</t>
  </si>
  <si>
    <t>Condition Checked</t>
  </si>
  <si>
    <t>Condition</t>
  </si>
  <si>
    <t>Rating(1-10)</t>
  </si>
  <si>
    <t>Row Labels</t>
  </si>
  <si>
    <t>Grand Total</t>
  </si>
  <si>
    <t>Column Labels</t>
  </si>
  <si>
    <t>TAT (Lead -&gt; Pre-Book)</t>
  </si>
  <si>
    <t>TAT (Pre-Book -&gt; Book)</t>
  </si>
  <si>
    <t>TAT (Book -&gt; Delivery)</t>
  </si>
  <si>
    <t>=[@[Pre-Booking Date]]-[@[Lead Date]]</t>
  </si>
  <si>
    <t>=[@[Booking Date]]-[@[Pre-Booking Date]]</t>
  </si>
  <si>
    <t>=[@[Delivery Date]]-[@[Booking Date]]</t>
  </si>
  <si>
    <t>Count of Lead ID</t>
  </si>
  <si>
    <t>Count of Pre-Booking Date</t>
  </si>
  <si>
    <t>Count of Booking Date</t>
  </si>
  <si>
    <t>Count of Delivery Date</t>
  </si>
  <si>
    <t>Count of Lead</t>
  </si>
  <si>
    <t>Lead -&gt; Pre-Book %</t>
  </si>
  <si>
    <t>Pre-Book -&gt; Book %</t>
  </si>
  <si>
    <t>Book -&gt; Delivery %</t>
  </si>
  <si>
    <t>Overall (Lead -&gt; Delivery) %</t>
  </si>
  <si>
    <t>NPS Group</t>
  </si>
  <si>
    <t>Sum of Customer Rating</t>
  </si>
  <si>
    <t>Detractor</t>
  </si>
  <si>
    <t>Passive</t>
  </si>
  <si>
    <t>Promoter</t>
  </si>
  <si>
    <t>Avg TAT (Lead -&gt; Pre-Book)</t>
  </si>
  <si>
    <t>Average of TAT (Pre-Book -&gt; Book)</t>
  </si>
  <si>
    <t>Average of TAT (Book -&gt; Delivery)</t>
  </si>
  <si>
    <t>Average of TAT (Lead -&gt; Pre-Book)</t>
  </si>
  <si>
    <t>Data Visualization &amp; Insights</t>
  </si>
  <si>
    <t>=[@[Delivery Date]]-[@[Lead Date]]</t>
  </si>
  <si>
    <t>Lead → Pre-Book</t>
  </si>
  <si>
    <t>Pre-Book → Book</t>
  </si>
  <si>
    <t>Book → Delivery</t>
  </si>
  <si>
    <t>Total Lead → Delivery</t>
  </si>
  <si>
    <t>1. Calculate Conversion Rates</t>
  </si>
  <si>
    <t>2. Analyze Cancellation Patterns</t>
  </si>
  <si>
    <t>(All)</t>
  </si>
  <si>
    <t>3. Breakdown of Leads</t>
  </si>
  <si>
    <t>Count of Customer Rating</t>
  </si>
  <si>
    <t>4. Calculate NPS of each store</t>
  </si>
  <si>
    <t>5. Highlight High-Potential Leads</t>
  </si>
  <si>
    <t>Delivery Date Assigned</t>
  </si>
  <si>
    <t>Booking Date Assigned</t>
  </si>
  <si>
    <t>Pre-Booking Date Assigned</t>
  </si>
  <si>
    <t>Data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</si>
</sst>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[$-14009]dd/mm/yyyy;@"/>
  </numFmts>
  <fonts count="1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3"/>
      <color rgb="FF00B05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1F9E7"/>
        <bgColor indexed="64"/>
      </patternFill>
    </fill>
    <fill>
      <patternFill patternType="solid">
        <fgColor theme="6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3" fillId="0" borderId="1" xfId="0" applyFont="1" applyBorder="1" applyAlignment="1">
      <alignment horizontal="center" vertical="top"/>
    </xf>
    <xf numFmtId="0" fontId="4" fillId="0" borderId="0" xfId="0" applyFont="1"/>
    <xf numFmtId="0" fontId="5" fillId="0" borderId="0" xfId="0" applyFont="1"/>
    <xf numFmtId="164" fontId="6" fillId="0" borderId="0" xfId="0" applyNumberFormat="1" applyFont="1"/>
    <xf numFmtId="0" fontId="0" fillId="2" borderId="0" xfId="0" applyFill="1"/>
    <xf numFmtId="0" fontId="2" fillId="0" borderId="0" xfId="0" applyFont="1"/>
    <xf numFmtId="0" fontId="2" fillId="2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7" fillId="3" borderId="2" xfId="0" applyFont="1" applyFill="1" applyBorder="1"/>
    <xf numFmtId="0" fontId="7" fillId="0" borderId="0" xfId="0" applyFont="1"/>
    <xf numFmtId="0" fontId="7" fillId="3" borderId="0" xfId="0" applyFont="1" applyFill="1"/>
    <xf numFmtId="165" fontId="6" fillId="0" borderId="0" xfId="0" applyNumberFormat="1" applyFont="1"/>
    <xf numFmtId="165" fontId="3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0" fontId="8" fillId="0" borderId="4" xfId="0" applyFont="1" applyBorder="1" applyAlignment="1">
      <alignment horizontal="center" vertical="top"/>
    </xf>
    <xf numFmtId="2" fontId="8" fillId="0" borderId="4" xfId="0" applyNumberFormat="1" applyFont="1" applyBorder="1" applyAlignment="1">
      <alignment horizontal="center" vertical="top"/>
    </xf>
    <xf numFmtId="2" fontId="0" fillId="0" borderId="0" xfId="0" applyNumberFormat="1"/>
    <xf numFmtId="0" fontId="7" fillId="3" borderId="3" xfId="0" applyFont="1" applyFill="1" applyBorder="1" applyAlignment="1">
      <alignment horizontal="left"/>
    </xf>
    <xf numFmtId="0" fontId="7" fillId="3" borderId="3" xfId="0" applyFont="1" applyFill="1" applyBorder="1"/>
    <xf numFmtId="0" fontId="7" fillId="0" borderId="3" xfId="0" applyFont="1" applyBorder="1" applyAlignment="1">
      <alignment horizontal="left"/>
    </xf>
    <xf numFmtId="0" fontId="7" fillId="0" borderId="3" xfId="0" applyFont="1" applyBorder="1"/>
    <xf numFmtId="0" fontId="1" fillId="0" borderId="0" xfId="0" applyFont="1"/>
    <xf numFmtId="0" fontId="0" fillId="4" borderId="0" xfId="0" applyFill="1"/>
    <xf numFmtId="0" fontId="9" fillId="0" borderId="0" xfId="0" applyFont="1"/>
    <xf numFmtId="10" fontId="0" fillId="0" borderId="0" xfId="0" applyNumberFormat="1"/>
    <xf numFmtId="0" fontId="7" fillId="0" borderId="0" xfId="0" applyFont="1" applyAlignment="1">
      <alignment wrapText="1"/>
    </xf>
    <xf numFmtId="0" fontId="7" fillId="0" borderId="0" xfId="0" applyFont="1" applyAlignment="1">
      <alignment horizontal="center" vertical="top" wrapText="1"/>
    </xf>
    <xf numFmtId="0" fontId="7" fillId="0" borderId="0" xfId="0" applyFont="1" applyAlignment="1">
      <alignment vertical="top" wrapText="1"/>
    </xf>
    <xf numFmtId="0" fontId="11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12" fillId="5" borderId="0" xfId="0" applyFont="1" applyFill="1" applyAlignment="1">
      <alignment horizontal="left"/>
    </xf>
    <xf numFmtId="0" fontId="10" fillId="5" borderId="0" xfId="0" applyFont="1" applyFill="1" applyAlignment="1">
      <alignment horizontal="left"/>
    </xf>
    <xf numFmtId="0" fontId="0" fillId="5" borderId="0" xfId="0" applyFill="1" applyAlignment="1">
      <alignment horizontal="left"/>
    </xf>
    <xf numFmtId="0" fontId="11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4" fillId="3" borderId="2" xfId="0" applyFont="1" applyFill="1" applyBorder="1"/>
  </cellXfs>
  <cellStyles count="1">
    <cellStyle name="Normal" xfId="0" builtinId="0"/>
  </cellStyles>
  <dxfs count="11"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5" formatCode="[$-14009]dd/mm/yyyy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5" formatCode="[$-14009]dd/mm/yyyy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5" formatCode="[$-14009]dd/mm/yyyy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5" formatCode="[$-14009]dd/mm/yyyy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colors>
    <mruColors>
      <color rgb="FFF1F9E7"/>
      <color rgb="FFCCECFF"/>
      <color rgb="FFCCFFCC"/>
      <color rgb="FF8BFF8B"/>
      <color rgb="FF61BB1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5" Type="http://schemas.openxmlformats.org/officeDocument/2006/relationships/pivotCacheDefinition" Target="pivotCache/pivotCacheDefinition2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[EPe BA intern assesment Raw data.xlsx]Analysis!PivotTable3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rgbClr val="00B050"/>
                </a:solidFill>
              </a:rPr>
              <a:t>Cancellation trends and reasons</a:t>
            </a:r>
            <a:endParaRPr lang="en-IN" b="1">
              <a:solidFill>
                <a:srgbClr val="00B050"/>
              </a:solidFill>
            </a:endParaRPr>
          </a:p>
        </c:rich>
      </c:tx>
      <c:layout>
        <c:manualLayout>
          <c:xMode val="edge"/>
          <c:yMode val="edge"/>
          <c:x val="0.31249300087489063"/>
          <c:y val="0.1229585885097696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Analysis!$B$12:$B$13</c:f>
              <c:strCache>
                <c:ptCount val="1"/>
                <c:pt idx="0">
                  <c:v>Changed Mind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Analysis!$A$14:$A$18</c:f>
              <c:strCache>
                <c:ptCount val="4"/>
                <c:pt idx="0">
                  <c:v>Bangalore</c:v>
                </c:pt>
                <c:pt idx="1">
                  <c:v>Chennai</c:v>
                </c:pt>
                <c:pt idx="2">
                  <c:v>Delhi</c:v>
                </c:pt>
                <c:pt idx="3">
                  <c:v>Mumbai</c:v>
                </c:pt>
              </c:strCache>
            </c:strRef>
          </c:cat>
          <c:val>
            <c:numRef>
              <c:f>Analysis!$B$14:$B$18</c:f>
              <c:numCache>
                <c:formatCode>General</c:formatCode>
                <c:ptCount val="4"/>
                <c:pt idx="0">
                  <c:v>13</c:v>
                </c:pt>
                <c:pt idx="1">
                  <c:v>15</c:v>
                </c:pt>
                <c:pt idx="2">
                  <c:v>14</c:v>
                </c:pt>
                <c:pt idx="3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7A-4B05-A02A-1E9AEF0391F7}"/>
            </c:ext>
          </c:extLst>
        </c:ser>
        <c:ser>
          <c:idx val="1"/>
          <c:order val="1"/>
          <c:tx>
            <c:strRef>
              <c:f>Analysis!$C$12:$C$13</c:f>
              <c:strCache>
                <c:ptCount val="1"/>
                <c:pt idx="0">
                  <c:v>Financing Issue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Analysis!$A$14:$A$18</c:f>
              <c:strCache>
                <c:ptCount val="4"/>
                <c:pt idx="0">
                  <c:v>Bangalore</c:v>
                </c:pt>
                <c:pt idx="1">
                  <c:v>Chennai</c:v>
                </c:pt>
                <c:pt idx="2">
                  <c:v>Delhi</c:v>
                </c:pt>
                <c:pt idx="3">
                  <c:v>Mumbai</c:v>
                </c:pt>
              </c:strCache>
            </c:strRef>
          </c:cat>
          <c:val>
            <c:numRef>
              <c:f>Analysis!$C$14:$C$18</c:f>
              <c:numCache>
                <c:formatCode>General</c:formatCode>
                <c:ptCount val="4"/>
                <c:pt idx="0">
                  <c:v>14</c:v>
                </c:pt>
                <c:pt idx="1">
                  <c:v>10</c:v>
                </c:pt>
                <c:pt idx="2">
                  <c:v>21</c:v>
                </c:pt>
                <c:pt idx="3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7A-4B05-A02A-1E9AEF0391F7}"/>
            </c:ext>
          </c:extLst>
        </c:ser>
        <c:ser>
          <c:idx val="2"/>
          <c:order val="2"/>
          <c:tx>
            <c:strRef>
              <c:f>Analysis!$D$12:$D$13</c:f>
              <c:strCache>
                <c:ptCount val="1"/>
                <c:pt idx="0">
                  <c:v>Model Unavailable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Analysis!$A$14:$A$18</c:f>
              <c:strCache>
                <c:ptCount val="4"/>
                <c:pt idx="0">
                  <c:v>Bangalore</c:v>
                </c:pt>
                <c:pt idx="1">
                  <c:v>Chennai</c:v>
                </c:pt>
                <c:pt idx="2">
                  <c:v>Delhi</c:v>
                </c:pt>
                <c:pt idx="3">
                  <c:v>Mumbai</c:v>
                </c:pt>
              </c:strCache>
            </c:strRef>
          </c:cat>
          <c:val>
            <c:numRef>
              <c:f>Analysis!$D$14:$D$18</c:f>
              <c:numCache>
                <c:formatCode>General</c:formatCode>
                <c:ptCount val="4"/>
                <c:pt idx="0">
                  <c:v>13</c:v>
                </c:pt>
                <c:pt idx="1">
                  <c:v>8</c:v>
                </c:pt>
                <c:pt idx="2">
                  <c:v>13</c:v>
                </c:pt>
                <c:pt idx="3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97A-4B05-A02A-1E9AEF0391F7}"/>
            </c:ext>
          </c:extLst>
        </c:ser>
        <c:ser>
          <c:idx val="3"/>
          <c:order val="3"/>
          <c:tx>
            <c:strRef>
              <c:f>Analysis!$E$12:$E$13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Analysis!$A$14:$A$18</c:f>
              <c:strCache>
                <c:ptCount val="4"/>
                <c:pt idx="0">
                  <c:v>Bangalore</c:v>
                </c:pt>
                <c:pt idx="1">
                  <c:v>Chennai</c:v>
                </c:pt>
                <c:pt idx="2">
                  <c:v>Delhi</c:v>
                </c:pt>
                <c:pt idx="3">
                  <c:v>Mumbai</c:v>
                </c:pt>
              </c:strCache>
            </c:strRef>
          </c:cat>
          <c:val>
            <c:numRef>
              <c:f>Analysis!$E$14:$E$18</c:f>
              <c:numCache>
                <c:formatCode>General</c:formatCode>
                <c:ptCount val="4"/>
                <c:pt idx="0">
                  <c:v>22</c:v>
                </c:pt>
                <c:pt idx="1">
                  <c:v>8</c:v>
                </c:pt>
                <c:pt idx="2">
                  <c:v>13</c:v>
                </c:pt>
                <c:pt idx="3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97A-4B05-A02A-1E9AEF0391F7}"/>
            </c:ext>
          </c:extLst>
        </c:ser>
        <c:ser>
          <c:idx val="4"/>
          <c:order val="4"/>
          <c:tx>
            <c:strRef>
              <c:f>Analysis!$F$12:$F$13</c:f>
              <c:strCache>
                <c:ptCount val="1"/>
                <c:pt idx="0">
                  <c:v>Price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Analysis!$A$14:$A$18</c:f>
              <c:strCache>
                <c:ptCount val="4"/>
                <c:pt idx="0">
                  <c:v>Bangalore</c:v>
                </c:pt>
                <c:pt idx="1">
                  <c:v>Chennai</c:v>
                </c:pt>
                <c:pt idx="2">
                  <c:v>Delhi</c:v>
                </c:pt>
                <c:pt idx="3">
                  <c:v>Mumbai</c:v>
                </c:pt>
              </c:strCache>
            </c:strRef>
          </c:cat>
          <c:val>
            <c:numRef>
              <c:f>Analysis!$F$14:$F$18</c:f>
              <c:numCache>
                <c:formatCode>General</c:formatCode>
                <c:ptCount val="4"/>
                <c:pt idx="0">
                  <c:v>10</c:v>
                </c:pt>
                <c:pt idx="1">
                  <c:v>18</c:v>
                </c:pt>
                <c:pt idx="2">
                  <c:v>16</c:v>
                </c:pt>
                <c:pt idx="3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97A-4B05-A02A-1E9AEF0391F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77710272"/>
        <c:axId val="277710752"/>
      </c:barChart>
      <c:catAx>
        <c:axId val="2777102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710752"/>
        <c:crosses val="autoZero"/>
        <c:auto val="1"/>
        <c:lblAlgn val="ctr"/>
        <c:lblOffset val="100"/>
        <c:noMultiLvlLbl val="0"/>
      </c:catAx>
      <c:valAx>
        <c:axId val="277710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710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[EPe BA intern assesment Raw data.xlsx]Analysis!PivotTable18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rgbClr val="00B050"/>
                </a:solidFill>
              </a:rPr>
              <a:t>TAT performance by stage</a:t>
            </a:r>
            <a:endParaRPr lang="en-IN" b="1">
              <a:solidFill>
                <a:srgbClr val="00B050"/>
              </a:solidFill>
            </a:endParaRPr>
          </a:p>
        </c:rich>
      </c:tx>
      <c:layout>
        <c:manualLayout>
          <c:xMode val="edge"/>
          <c:yMode val="edge"/>
          <c:x val="0.27955729166666665"/>
          <c:y val="0.1096160896093384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Analysis!$M$3</c:f>
              <c:strCache>
                <c:ptCount val="1"/>
                <c:pt idx="0">
                  <c:v>Average of TAT (Pre-Book -&gt; Book)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Analysis!$L$4:$L$8</c:f>
              <c:strCache>
                <c:ptCount val="4"/>
                <c:pt idx="0">
                  <c:v>Bangalore</c:v>
                </c:pt>
                <c:pt idx="1">
                  <c:v>Chennai</c:v>
                </c:pt>
                <c:pt idx="2">
                  <c:v>Delhi</c:v>
                </c:pt>
                <c:pt idx="3">
                  <c:v>Mumbai</c:v>
                </c:pt>
              </c:strCache>
            </c:strRef>
          </c:cat>
          <c:val>
            <c:numRef>
              <c:f>Analysis!$M$4:$M$8</c:f>
              <c:numCache>
                <c:formatCode>General</c:formatCode>
                <c:ptCount val="4"/>
                <c:pt idx="0">
                  <c:v>2.4448669201520912</c:v>
                </c:pt>
                <c:pt idx="1">
                  <c:v>2.6132075471698113</c:v>
                </c:pt>
                <c:pt idx="2">
                  <c:v>2.4334600760456273</c:v>
                </c:pt>
                <c:pt idx="3">
                  <c:v>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F4-4FB4-8D6A-9D502AFE2840}"/>
            </c:ext>
          </c:extLst>
        </c:ser>
        <c:ser>
          <c:idx val="1"/>
          <c:order val="1"/>
          <c:tx>
            <c:strRef>
              <c:f>Analysis!$N$3</c:f>
              <c:strCache>
                <c:ptCount val="1"/>
                <c:pt idx="0">
                  <c:v>Average of TAT (Book -&gt; Delivery)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Analysis!$L$4:$L$8</c:f>
              <c:strCache>
                <c:ptCount val="4"/>
                <c:pt idx="0">
                  <c:v>Bangalore</c:v>
                </c:pt>
                <c:pt idx="1">
                  <c:v>Chennai</c:v>
                </c:pt>
                <c:pt idx="2">
                  <c:v>Delhi</c:v>
                </c:pt>
                <c:pt idx="3">
                  <c:v>Mumbai</c:v>
                </c:pt>
              </c:strCache>
            </c:strRef>
          </c:cat>
          <c:val>
            <c:numRef>
              <c:f>Analysis!$N$4:$N$8</c:f>
              <c:numCache>
                <c:formatCode>General</c:formatCode>
                <c:ptCount val="4"/>
                <c:pt idx="0">
                  <c:v>3.6387832699619773</c:v>
                </c:pt>
                <c:pt idx="1">
                  <c:v>3.5801886792452828</c:v>
                </c:pt>
                <c:pt idx="2">
                  <c:v>3.452471482889734</c:v>
                </c:pt>
                <c:pt idx="3">
                  <c:v>3.7977099236641223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F4-4FB4-8D6A-9D502AFE2840}"/>
            </c:ext>
          </c:extLst>
        </c:ser>
        <c:ser>
          <c:idx val="2"/>
          <c:order val="2"/>
          <c:tx>
            <c:strRef>
              <c:f>Analysis!$O$3</c:f>
              <c:strCache>
                <c:ptCount val="1"/>
                <c:pt idx="0">
                  <c:v>Average of TAT (Lead -&gt; Pre-Book)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Analysis!$L$4:$L$8</c:f>
              <c:strCache>
                <c:ptCount val="4"/>
                <c:pt idx="0">
                  <c:v>Bangalore</c:v>
                </c:pt>
                <c:pt idx="1">
                  <c:v>Chennai</c:v>
                </c:pt>
                <c:pt idx="2">
                  <c:v>Delhi</c:v>
                </c:pt>
                <c:pt idx="3">
                  <c:v>Mumbai</c:v>
                </c:pt>
              </c:strCache>
            </c:strRef>
          </c:cat>
          <c:val>
            <c:numRef>
              <c:f>Analysis!$O$4:$O$8</c:f>
              <c:numCache>
                <c:formatCode>General</c:formatCode>
                <c:ptCount val="4"/>
                <c:pt idx="0">
                  <c:v>3.1179245283018866</c:v>
                </c:pt>
                <c:pt idx="1">
                  <c:v>3.1213872832369942</c:v>
                </c:pt>
                <c:pt idx="2">
                  <c:v>3.0283018867924527</c:v>
                </c:pt>
                <c:pt idx="3">
                  <c:v>2.9767441860465116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1F4-4FB4-8D6A-9D502AFE28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56063968"/>
        <c:axId val="956066848"/>
      </c:barChart>
      <c:catAx>
        <c:axId val="9560639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6066848"/>
        <c:crosses val="autoZero"/>
        <c:auto val="1"/>
        <c:lblAlgn val="ctr"/>
        <c:lblOffset val="100"/>
        <c:noMultiLvlLbl val="0"/>
      </c:catAx>
      <c:valAx>
        <c:axId val="956066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6063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[EPe BA intern assesment Raw data.xlsx]Analysis!PivotTable4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rgbClr val="00B050"/>
                </a:solidFill>
              </a:rPr>
              <a:t>Hot/Warm/Cold lead distribution</a:t>
            </a:r>
            <a:endParaRPr lang="en-IN" b="1">
              <a:solidFill>
                <a:srgbClr val="00B050"/>
              </a:solidFill>
            </a:endParaRPr>
          </a:p>
        </c:rich>
      </c:tx>
      <c:layout>
        <c:manualLayout>
          <c:xMode val="edge"/>
          <c:yMode val="edge"/>
          <c:x val="0.27311789151356081"/>
          <c:y val="0.1008311461067366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Analysis!$B$21:$B$22</c:f>
              <c:strCache>
                <c:ptCount val="1"/>
                <c:pt idx="0">
                  <c:v>Cold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Analysis!$A$23:$A$27</c:f>
              <c:strCache>
                <c:ptCount val="4"/>
                <c:pt idx="0">
                  <c:v>Bangalore</c:v>
                </c:pt>
                <c:pt idx="1">
                  <c:v>Chennai</c:v>
                </c:pt>
                <c:pt idx="2">
                  <c:v>Delhi</c:v>
                </c:pt>
                <c:pt idx="3">
                  <c:v>Mumbai</c:v>
                </c:pt>
              </c:strCache>
            </c:strRef>
          </c:cat>
          <c:val>
            <c:numRef>
              <c:f>Analysis!$B$23:$B$27</c:f>
              <c:numCache>
                <c:formatCode>0.00%</c:formatCode>
                <c:ptCount val="4"/>
                <c:pt idx="0">
                  <c:v>0.19391634980988592</c:v>
                </c:pt>
                <c:pt idx="1">
                  <c:v>0.18396226415094338</c:v>
                </c:pt>
                <c:pt idx="2">
                  <c:v>0.19391634980988592</c:v>
                </c:pt>
                <c:pt idx="3">
                  <c:v>0.17938931297709923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8E-466C-B5CD-FAFA338D006B}"/>
            </c:ext>
          </c:extLst>
        </c:ser>
        <c:ser>
          <c:idx val="1"/>
          <c:order val="1"/>
          <c:tx>
            <c:strRef>
              <c:f>Analysis!$C$21:$C$22</c:f>
              <c:strCache>
                <c:ptCount val="1"/>
                <c:pt idx="0">
                  <c:v>Hot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Analysis!$A$23:$A$27</c:f>
              <c:strCache>
                <c:ptCount val="4"/>
                <c:pt idx="0">
                  <c:v>Bangalore</c:v>
                </c:pt>
                <c:pt idx="1">
                  <c:v>Chennai</c:v>
                </c:pt>
                <c:pt idx="2">
                  <c:v>Delhi</c:v>
                </c:pt>
                <c:pt idx="3">
                  <c:v>Mumbai</c:v>
                </c:pt>
              </c:strCache>
            </c:strRef>
          </c:cat>
          <c:val>
            <c:numRef>
              <c:f>Analysis!$C$23:$C$27</c:f>
              <c:numCache>
                <c:formatCode>0.00%</c:formatCode>
                <c:ptCount val="4"/>
                <c:pt idx="0">
                  <c:v>0.30418250950570341</c:v>
                </c:pt>
                <c:pt idx="1">
                  <c:v>0.330188679245283</c:v>
                </c:pt>
                <c:pt idx="2">
                  <c:v>0.26615969581749049</c:v>
                </c:pt>
                <c:pt idx="3">
                  <c:v>0.31679389312977096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8E-466C-B5CD-FAFA338D006B}"/>
            </c:ext>
          </c:extLst>
        </c:ser>
        <c:ser>
          <c:idx val="2"/>
          <c:order val="2"/>
          <c:tx>
            <c:strRef>
              <c:f>Analysis!$D$21:$D$22</c:f>
              <c:strCache>
                <c:ptCount val="1"/>
                <c:pt idx="0">
                  <c:v>Warm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Analysis!$A$23:$A$27</c:f>
              <c:strCache>
                <c:ptCount val="4"/>
                <c:pt idx="0">
                  <c:v>Bangalore</c:v>
                </c:pt>
                <c:pt idx="1">
                  <c:v>Chennai</c:v>
                </c:pt>
                <c:pt idx="2">
                  <c:v>Delhi</c:v>
                </c:pt>
                <c:pt idx="3">
                  <c:v>Mumbai</c:v>
                </c:pt>
              </c:strCache>
            </c:strRef>
          </c:cat>
          <c:val>
            <c:numRef>
              <c:f>Analysis!$D$23:$D$27</c:f>
              <c:numCache>
                <c:formatCode>0.00%</c:formatCode>
                <c:ptCount val="4"/>
                <c:pt idx="0">
                  <c:v>0.50190114068441061</c:v>
                </c:pt>
                <c:pt idx="1">
                  <c:v>0.48584905660377359</c:v>
                </c:pt>
                <c:pt idx="2">
                  <c:v>0.53992395437262353</c:v>
                </c:pt>
                <c:pt idx="3">
                  <c:v>0.50381679389312972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28E-466C-B5CD-FAFA338D006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79459200"/>
        <c:axId val="109446560"/>
      </c:barChart>
      <c:catAx>
        <c:axId val="2794592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446560"/>
        <c:crosses val="autoZero"/>
        <c:auto val="1"/>
        <c:lblAlgn val="ctr"/>
        <c:lblOffset val="100"/>
        <c:noMultiLvlLbl val="0"/>
      </c:catAx>
      <c:valAx>
        <c:axId val="109446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459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[EPe BA intern assesment Raw data.xlsx]Analysis!PivotTable6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rgbClr val="00B050"/>
                </a:solidFill>
              </a:rPr>
              <a:t>Customer Ratings Distribution</a:t>
            </a:r>
            <a:endParaRPr lang="en-IN" b="1">
              <a:solidFill>
                <a:srgbClr val="00B05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Analysis!$B$31:$B$32</c:f>
              <c:strCache>
                <c:ptCount val="1"/>
                <c:pt idx="0">
                  <c:v>Detractor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Analysis!$A$33:$A$37</c:f>
              <c:strCache>
                <c:ptCount val="4"/>
                <c:pt idx="0">
                  <c:v>Bangalore</c:v>
                </c:pt>
                <c:pt idx="1">
                  <c:v>Chennai</c:v>
                </c:pt>
                <c:pt idx="2">
                  <c:v>Delhi</c:v>
                </c:pt>
                <c:pt idx="3">
                  <c:v>Mumbai</c:v>
                </c:pt>
              </c:strCache>
            </c:strRef>
          </c:cat>
          <c:val>
            <c:numRef>
              <c:f>Analysis!$B$33:$B$37</c:f>
              <c:numCache>
                <c:formatCode>0.00%</c:formatCode>
                <c:ptCount val="4"/>
                <c:pt idx="0">
                  <c:v>0.70157068062827221</c:v>
                </c:pt>
                <c:pt idx="1">
                  <c:v>0.6470588235294118</c:v>
                </c:pt>
                <c:pt idx="2">
                  <c:v>0.66129032258064513</c:v>
                </c:pt>
                <c:pt idx="3">
                  <c:v>0.69346733668341709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35-4002-B0BD-31089F234C97}"/>
            </c:ext>
          </c:extLst>
        </c:ser>
        <c:ser>
          <c:idx val="1"/>
          <c:order val="1"/>
          <c:tx>
            <c:strRef>
              <c:f>Analysis!$C$31:$C$32</c:f>
              <c:strCache>
                <c:ptCount val="1"/>
                <c:pt idx="0">
                  <c:v>Passive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Analysis!$A$33:$A$37</c:f>
              <c:strCache>
                <c:ptCount val="4"/>
                <c:pt idx="0">
                  <c:v>Bangalore</c:v>
                </c:pt>
                <c:pt idx="1">
                  <c:v>Chennai</c:v>
                </c:pt>
                <c:pt idx="2">
                  <c:v>Delhi</c:v>
                </c:pt>
                <c:pt idx="3">
                  <c:v>Mumbai</c:v>
                </c:pt>
              </c:strCache>
            </c:strRef>
          </c:cat>
          <c:val>
            <c:numRef>
              <c:f>Analysis!$C$33:$C$37</c:f>
              <c:numCache>
                <c:formatCode>0.00%</c:formatCode>
                <c:ptCount val="4"/>
                <c:pt idx="0">
                  <c:v>0.17801047120418848</c:v>
                </c:pt>
                <c:pt idx="1">
                  <c:v>0.16993464052287582</c:v>
                </c:pt>
                <c:pt idx="2">
                  <c:v>0.17741935483870969</c:v>
                </c:pt>
                <c:pt idx="3">
                  <c:v>0.19095477386934673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35-4002-B0BD-31089F234C97}"/>
            </c:ext>
          </c:extLst>
        </c:ser>
        <c:ser>
          <c:idx val="2"/>
          <c:order val="2"/>
          <c:tx>
            <c:strRef>
              <c:f>Analysis!$D$31:$D$32</c:f>
              <c:strCache>
                <c:ptCount val="1"/>
                <c:pt idx="0">
                  <c:v>Promoter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Analysis!$A$33:$A$37</c:f>
              <c:strCache>
                <c:ptCount val="4"/>
                <c:pt idx="0">
                  <c:v>Bangalore</c:v>
                </c:pt>
                <c:pt idx="1">
                  <c:v>Chennai</c:v>
                </c:pt>
                <c:pt idx="2">
                  <c:v>Delhi</c:v>
                </c:pt>
                <c:pt idx="3">
                  <c:v>Mumbai</c:v>
                </c:pt>
              </c:strCache>
            </c:strRef>
          </c:cat>
          <c:val>
            <c:numRef>
              <c:f>Analysis!$D$33:$D$37</c:f>
              <c:numCache>
                <c:formatCode>0.00%</c:formatCode>
                <c:ptCount val="4"/>
                <c:pt idx="0">
                  <c:v>0.12041884816753927</c:v>
                </c:pt>
                <c:pt idx="1">
                  <c:v>0.18300653594771241</c:v>
                </c:pt>
                <c:pt idx="2">
                  <c:v>0.16129032258064516</c:v>
                </c:pt>
                <c:pt idx="3">
                  <c:v>0.11557788944723618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B35-4002-B0BD-31089F234C9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949526672"/>
        <c:axId val="949527632"/>
      </c:barChart>
      <c:catAx>
        <c:axId val="9495266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9527632"/>
        <c:crosses val="autoZero"/>
        <c:auto val="1"/>
        <c:lblAlgn val="ctr"/>
        <c:lblOffset val="100"/>
        <c:noMultiLvlLbl val="0"/>
      </c:catAx>
      <c:valAx>
        <c:axId val="949527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9526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_xlchart.v2.32</cx:f>
      </cx:strDim>
      <cx:numDim type="val">
        <cx:f>_xlchart.v2.34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IN" b="1">
                <a:solidFill>
                  <a:srgbClr val="00B050"/>
                </a:solidFill>
              </a:rPr>
              <a:t>Lead conversion funnel by store</a:t>
            </a:r>
            <a:endParaRPr lang="en-US" sz="1400" b="1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endParaRPr>
          </a:p>
        </cx:rich>
      </cx:tx>
    </cx:title>
    <cx:plotArea>
      <cx:plotAreaRegion>
        <cx:series layoutId="funnel" uniqueId="{1EE36718-2ACB-4773-99A0-FBDF7C8343C0}">
          <cx:tx>
            <cx:txData>
              <cx:f>_xlchart.v2.33</cx:f>
              <cx:v>Count of Lead</cx:v>
            </cx:txData>
          </cx:tx>
          <cx:dataLabels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microsoft.com/office/2014/relationships/chartEx" Target="../charts/chartEx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304800</xdr:colOff>
      <xdr:row>2</xdr:row>
      <xdr:rowOff>0</xdr:rowOff>
    </xdr:from>
    <xdr:to>
      <xdr:col>16</xdr:col>
      <xdr:colOff>0</xdr:colOff>
      <xdr:row>17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55DBA38-B61A-4403-8CCA-F9DC5CBF36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17</xdr:row>
      <xdr:rowOff>167640</xdr:rowOff>
    </xdr:from>
    <xdr:to>
      <xdr:col>11</xdr:col>
      <xdr:colOff>0</xdr:colOff>
      <xdr:row>33</xdr:row>
      <xdr:rowOff>216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C470226-2809-48E8-9CD1-D45AA9BCD9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8964</xdr:colOff>
      <xdr:row>18</xdr:row>
      <xdr:rowOff>8965</xdr:rowOff>
    </xdr:from>
    <xdr:to>
      <xdr:col>23</xdr:col>
      <xdr:colOff>609599</xdr:colOff>
      <xdr:row>33</xdr:row>
      <xdr:rowOff>8965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7380F9B-EDD9-4B16-B3BA-20093F20BE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213360</xdr:colOff>
      <xdr:row>1</xdr:row>
      <xdr:rowOff>175260</xdr:rowOff>
    </xdr:from>
    <xdr:to>
      <xdr:col>24</xdr:col>
      <xdr:colOff>0</xdr:colOff>
      <xdr:row>16</xdr:row>
      <xdr:rowOff>175260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7CFBB6D-4DCF-4526-A60C-D28375DB00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5115</xdr:colOff>
      <xdr:row>1</xdr:row>
      <xdr:rowOff>178995</xdr:rowOff>
    </xdr:from>
    <xdr:to>
      <xdr:col>8</xdr:col>
      <xdr:colOff>11282</xdr:colOff>
      <xdr:row>17</xdr:row>
      <xdr:rowOff>10229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293AC4EB-6238-4567-A92D-7FC6502BEB2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115" y="409129"/>
              <a:ext cx="4874784" cy="277695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med Kumar" refreshedDate="45960.229200925925" createdVersion="8" refreshedVersion="8" minRefreshableVersion="3" recordCount="1000" xr:uid="{6E391693-D570-40AF-910B-E5B277E0246E}">
  <cacheSource type="worksheet">
    <worksheetSource ref="A1:N1001" sheet="Sheet1"/>
  </cacheSource>
  <cacheFields count="14">
    <cacheField name="Lead ID" numFmtId="0">
      <sharedItems/>
    </cacheField>
    <cacheField name="Store Name" numFmtId="0">
      <sharedItems count="4">
        <s v="Bangalore"/>
        <s v="Delhi"/>
        <s v="Mumbai"/>
        <s v="Chennai"/>
      </sharedItems>
    </cacheField>
    <cacheField name="Lead Type" numFmtId="0">
      <sharedItems count="3">
        <s v="Warm"/>
        <s v="Cold"/>
        <s v="Hot"/>
      </sharedItems>
    </cacheField>
    <cacheField name="Lead Date" numFmtId="165">
      <sharedItems containsSemiMixedTypes="0" containsNonDate="0" containsDate="1" containsString="0" minDate="2025-10-01T00:00:00" maxDate="2025-11-01T00:00:00"/>
    </cacheField>
    <cacheField name="Pre-Booking Date" numFmtId="165">
      <sharedItems containsNonDate="0" containsDate="1" containsString="0" containsBlank="1" minDate="2025-10-02T00:00:00" maxDate="2025-11-06T00:00:00"/>
    </cacheField>
    <cacheField name="Booking Date" numFmtId="165">
      <sharedItems containsNonDate="0" containsDate="1" containsString="0" containsBlank="1" minDate="2025-10-03T00:00:00" maxDate="2025-11-11T00:00:00"/>
    </cacheField>
    <cacheField name="Delivery Date" numFmtId="165">
      <sharedItems containsNonDate="0" containsDate="1" containsString="0" containsBlank="1" minDate="2025-10-06T00:00:00" maxDate="2025-11-18T00:00:00"/>
    </cacheField>
    <cacheField name="Cancellation Status" numFmtId="0">
      <sharedItems count="2">
        <s v="No"/>
        <s v="Yes"/>
      </sharedItems>
    </cacheField>
    <cacheField name="Cancellation Reason" numFmtId="0">
      <sharedItems containsBlank="1" count="6">
        <m/>
        <s v="Other"/>
        <s v="Model Unavailable"/>
        <s v="Changed Mind"/>
        <s v="Financing Issue"/>
        <s v="Price"/>
      </sharedItems>
    </cacheField>
    <cacheField name="Service Follow-up Date" numFmtId="0">
      <sharedItems containsNonDate="0" containsDate="1" containsString="0" containsBlank="1" minDate="2025-10-19T00:00:00" maxDate="2025-12-16T00:00:00"/>
    </cacheField>
    <cacheField name="Customer Rating" numFmtId="0">
      <sharedItems containsString="0" containsBlank="1" containsNumber="1" containsInteger="1" minValue="0" maxValue="10"/>
    </cacheField>
    <cacheField name="TAT (Lead -&gt; Pre-Book)" numFmtId="2">
      <sharedItems containsString="0" containsBlank="1" containsNumber="1" containsInteger="1" minValue="1" maxValue="5"/>
    </cacheField>
    <cacheField name="TAT (Pre-Book -&gt; Book)" numFmtId="0">
      <sharedItems containsSemiMixedTypes="0" containsString="0" containsNumber="1" containsInteger="1" minValue="0" maxValue="5"/>
    </cacheField>
    <cacheField name="TAT (Book -&gt; Delivery)" numFmtId="0">
      <sharedItems containsSemiMixedTypes="0" containsString="0" containsNumber="1" containsInteger="1" minValue="0" maxValue="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med Kumar" refreshedDate="45960.229201851849" createdVersion="8" refreshedVersion="8" minRefreshableVersion="3" recordCount="1001" xr:uid="{7B090A7C-5487-41A5-BFD3-612AE4CED8B5}">
  <cacheSource type="worksheet">
    <worksheetSource ref="A1:O1048576" sheet="Sheet1"/>
  </cacheSource>
  <cacheFields count="15">
    <cacheField name="Lead ID" numFmtId="0">
      <sharedItems containsBlank="1"/>
    </cacheField>
    <cacheField name="Store Name" numFmtId="0">
      <sharedItems containsBlank="1" count="5">
        <s v="Bangalore"/>
        <s v="Delhi"/>
        <s v="Mumbai"/>
        <s v="Chennai"/>
        <m/>
      </sharedItems>
    </cacheField>
    <cacheField name="Lead Type" numFmtId="0">
      <sharedItems containsBlank="1"/>
    </cacheField>
    <cacheField name="Lead Date" numFmtId="165">
      <sharedItems containsNonDate="0" containsDate="1" containsString="0" containsBlank="1" minDate="2025-10-01T00:00:00" maxDate="2025-11-01T00:00:00"/>
    </cacheField>
    <cacheField name="Pre-Booking Date" numFmtId="165">
      <sharedItems containsNonDate="0" containsDate="1" containsString="0" containsBlank="1" minDate="2025-10-02T00:00:00" maxDate="2025-11-06T00:00:00"/>
    </cacheField>
    <cacheField name="Booking Date" numFmtId="165">
      <sharedItems containsNonDate="0" containsDate="1" containsString="0" containsBlank="1" minDate="2025-10-03T00:00:00" maxDate="2025-11-11T00:00:00"/>
    </cacheField>
    <cacheField name="Delivery Date" numFmtId="165">
      <sharedItems containsNonDate="0" containsDate="1" containsString="0" containsBlank="1" minDate="2025-10-06T00:00:00" maxDate="2025-11-18T00:00:00"/>
    </cacheField>
    <cacheField name="Cancellation Status" numFmtId="0">
      <sharedItems containsBlank="1"/>
    </cacheField>
    <cacheField name="Cancellation Reason" numFmtId="0">
      <sharedItems containsBlank="1"/>
    </cacheField>
    <cacheField name="Service Follow-up Date" numFmtId="0">
      <sharedItems containsNonDate="0" containsDate="1" containsString="0" containsBlank="1" minDate="2025-10-19T00:00:00" maxDate="2025-12-16T00:00:00"/>
    </cacheField>
    <cacheField name="Customer Rating" numFmtId="0">
      <sharedItems containsString="0" containsBlank="1" containsNumber="1" containsInteger="1" minValue="0" maxValue="10"/>
    </cacheField>
    <cacheField name="TAT (Lead -&gt; Pre-Book)" numFmtId="2">
      <sharedItems containsString="0" containsBlank="1" containsNumber="1" containsInteger="1" minValue="1" maxValue="5"/>
    </cacheField>
    <cacheField name="TAT (Pre-Book -&gt; Book)" numFmtId="0">
      <sharedItems containsString="0" containsBlank="1" containsNumber="1" containsInteger="1" minValue="0" maxValue="5"/>
    </cacheField>
    <cacheField name="TAT (Book -&gt; Delivery)" numFmtId="0">
      <sharedItems containsString="0" containsBlank="1" containsNumber="1" containsInteger="1" minValue="0" maxValue="7"/>
    </cacheField>
    <cacheField name="NPS Group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med Kumar" refreshedDate="45960.229202662034" createdVersion="8" refreshedVersion="8" minRefreshableVersion="3" recordCount="1000" xr:uid="{43651612-8ED5-4100-92DD-F6758FB9CD5F}">
  <cacheSource type="worksheet">
    <worksheetSource ref="A1:O1001" sheet="Sheet1"/>
  </cacheSource>
  <cacheFields count="15">
    <cacheField name="Lead ID" numFmtId="0">
      <sharedItems/>
    </cacheField>
    <cacheField name="Store Name" numFmtId="0">
      <sharedItems count="4">
        <s v="Bangalore"/>
        <s v="Delhi"/>
        <s v="Mumbai"/>
        <s v="Chennai"/>
      </sharedItems>
    </cacheField>
    <cacheField name="Lead Type" numFmtId="0">
      <sharedItems count="3">
        <s v="Warm"/>
        <s v="Cold"/>
        <s v="Hot"/>
      </sharedItems>
    </cacheField>
    <cacheField name="Lead Date" numFmtId="165">
      <sharedItems containsSemiMixedTypes="0" containsNonDate="0" containsDate="1" containsString="0" minDate="2025-10-01T00:00:00" maxDate="2025-11-01T00:00:00" count="31">
        <d v="2025-10-21T00:00:00"/>
        <d v="2025-10-11T00:00:00"/>
        <d v="2025-10-01T00:00:00"/>
        <d v="2025-10-28T00:00:00"/>
        <d v="2025-10-14T00:00:00"/>
        <d v="2025-10-27T00:00:00"/>
        <d v="2025-10-16T00:00:00"/>
        <d v="2025-10-04T00:00:00"/>
        <d v="2025-10-31T00:00:00"/>
        <d v="2025-10-12T00:00:00"/>
        <d v="2025-10-29T00:00:00"/>
        <d v="2025-10-15T00:00:00"/>
        <d v="2025-10-23T00:00:00"/>
        <d v="2025-10-05T00:00:00"/>
        <d v="2025-10-06T00:00:00"/>
        <d v="2025-10-24T00:00:00"/>
        <d v="2025-10-17T00:00:00"/>
        <d v="2025-10-09T00:00:00"/>
        <d v="2025-10-20T00:00:00"/>
        <d v="2025-10-26T00:00:00"/>
        <d v="2025-10-30T00:00:00"/>
        <d v="2025-10-18T00:00:00"/>
        <d v="2025-10-25T00:00:00"/>
        <d v="2025-10-19T00:00:00"/>
        <d v="2025-10-08T00:00:00"/>
        <d v="2025-10-03T00:00:00"/>
        <d v="2025-10-22T00:00:00"/>
        <d v="2025-10-13T00:00:00"/>
        <d v="2025-10-07T00:00:00"/>
        <d v="2025-10-10T00:00:00"/>
        <d v="2025-10-02T00:00:00"/>
      </sharedItems>
    </cacheField>
    <cacheField name="Pre-Booking Date" numFmtId="165">
      <sharedItems containsNonDate="0" containsDate="1" containsString="0" containsBlank="1" minDate="2025-10-02T00:00:00" maxDate="2025-11-06T00:00:00"/>
    </cacheField>
    <cacheField name="Booking Date" numFmtId="165">
      <sharedItems containsNonDate="0" containsDate="1" containsString="0" containsBlank="1" minDate="2025-10-03T00:00:00" maxDate="2025-11-11T00:00:00"/>
    </cacheField>
    <cacheField name="Delivery Date" numFmtId="165">
      <sharedItems containsNonDate="0" containsDate="1" containsString="0" containsBlank="1" minDate="2025-10-06T00:00:00" maxDate="2025-11-18T00:00:00"/>
    </cacheField>
    <cacheField name="Cancellation Status" numFmtId="0">
      <sharedItems/>
    </cacheField>
    <cacheField name="Cancellation Reason" numFmtId="0">
      <sharedItems containsBlank="1"/>
    </cacheField>
    <cacheField name="Service Follow-up Date" numFmtId="0">
      <sharedItems containsNonDate="0" containsDate="1" containsString="0" containsBlank="1" minDate="2025-10-19T00:00:00" maxDate="2025-12-16T00:00:00"/>
    </cacheField>
    <cacheField name="Customer Rating" numFmtId="0">
      <sharedItems containsString="0" containsBlank="1" containsNumber="1" containsInteger="1" minValue="0" maxValue="10" count="12">
        <n v="2"/>
        <n v="8"/>
        <m/>
        <n v="9"/>
        <n v="10"/>
        <n v="6"/>
        <n v="0"/>
        <n v="5"/>
        <n v="4"/>
        <n v="3"/>
        <n v="1"/>
        <n v="7"/>
      </sharedItems>
    </cacheField>
    <cacheField name="TAT (Lead -&gt; Pre-Book)" numFmtId="2">
      <sharedItems containsString="0" containsBlank="1" containsNumber="1" containsInteger="1" minValue="1" maxValue="5"/>
    </cacheField>
    <cacheField name="TAT (Pre-Book -&gt; Book)" numFmtId="0">
      <sharedItems containsSemiMixedTypes="0" containsString="0" containsNumber="1" containsInteger="1" minValue="0" maxValue="5"/>
    </cacheField>
    <cacheField name="TAT (Book -&gt; Delivery)" numFmtId="0">
      <sharedItems containsSemiMixedTypes="0" containsString="0" containsNumber="1" containsInteger="1" minValue="0" maxValue="7"/>
    </cacheField>
    <cacheField name="NPS Group" numFmtId="0">
      <sharedItems count="3">
        <s v="Detractor"/>
        <s v="Passive"/>
        <s v="Promote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L1000"/>
    <x v="0"/>
    <x v="0"/>
    <d v="2025-10-21T00:00:00"/>
    <d v="2025-10-25T00:00:00"/>
    <d v="2025-10-29T00:00:00"/>
    <d v="2025-11-03T00:00:00"/>
    <x v="0"/>
    <x v="0"/>
    <d v="2025-11-28T00:00:00"/>
    <n v="2"/>
    <n v="4"/>
    <n v="4"/>
    <n v="5"/>
  </r>
  <r>
    <s v="L1001"/>
    <x v="1"/>
    <x v="0"/>
    <d v="2025-10-11T00:00:00"/>
    <d v="2025-10-14T00:00:00"/>
    <d v="2025-10-19T00:00:00"/>
    <d v="2025-10-26T00:00:00"/>
    <x v="0"/>
    <x v="0"/>
    <d v="2025-11-22T00:00:00"/>
    <n v="8"/>
    <n v="3"/>
    <n v="5"/>
    <n v="7"/>
  </r>
  <r>
    <s v="L1002"/>
    <x v="2"/>
    <x v="1"/>
    <d v="2025-10-01T00:00:00"/>
    <m/>
    <m/>
    <m/>
    <x v="1"/>
    <x v="1"/>
    <m/>
    <m/>
    <m/>
    <n v="0"/>
    <n v="0"/>
  </r>
  <r>
    <s v="L1003"/>
    <x v="0"/>
    <x v="1"/>
    <d v="2025-10-28T00:00:00"/>
    <m/>
    <m/>
    <m/>
    <x v="1"/>
    <x v="2"/>
    <m/>
    <m/>
    <m/>
    <n v="0"/>
    <n v="0"/>
  </r>
  <r>
    <s v="L1004"/>
    <x v="1"/>
    <x v="0"/>
    <d v="2025-10-14T00:00:00"/>
    <d v="2025-10-18T00:00:00"/>
    <d v="2025-10-21T00:00:00"/>
    <d v="2025-10-24T00:00:00"/>
    <x v="0"/>
    <x v="0"/>
    <d v="2025-11-12T00:00:00"/>
    <n v="8"/>
    <n v="4"/>
    <n v="3"/>
    <n v="3"/>
  </r>
  <r>
    <s v="L1005"/>
    <x v="1"/>
    <x v="0"/>
    <d v="2025-10-27T00:00:00"/>
    <d v="2025-10-31T00:00:00"/>
    <d v="2025-11-04T00:00:00"/>
    <d v="2025-11-07T00:00:00"/>
    <x v="0"/>
    <x v="0"/>
    <d v="2025-11-22T00:00:00"/>
    <n v="9"/>
    <n v="4"/>
    <n v="4"/>
    <n v="3"/>
  </r>
  <r>
    <s v="L1006"/>
    <x v="2"/>
    <x v="2"/>
    <d v="2025-10-16T00:00:00"/>
    <d v="2025-10-20T00:00:00"/>
    <d v="2025-10-21T00:00:00"/>
    <d v="2025-10-28T00:00:00"/>
    <x v="0"/>
    <x v="0"/>
    <d v="2025-11-22T00:00:00"/>
    <n v="10"/>
    <n v="4"/>
    <n v="1"/>
    <n v="7"/>
  </r>
  <r>
    <s v="L1007"/>
    <x v="3"/>
    <x v="0"/>
    <d v="2025-10-04T00:00:00"/>
    <d v="2025-10-05T00:00:00"/>
    <d v="2025-10-08T00:00:00"/>
    <d v="2025-10-15T00:00:00"/>
    <x v="1"/>
    <x v="3"/>
    <m/>
    <m/>
    <n v="1"/>
    <n v="3"/>
    <n v="7"/>
  </r>
  <r>
    <s v="L1008"/>
    <x v="0"/>
    <x v="2"/>
    <d v="2025-10-14T00:00:00"/>
    <d v="2025-10-17T00:00:00"/>
    <d v="2025-10-20T00:00:00"/>
    <d v="2025-10-25T00:00:00"/>
    <x v="0"/>
    <x v="0"/>
    <d v="2025-11-05T00:00:00"/>
    <n v="8"/>
    <n v="3"/>
    <n v="3"/>
    <n v="5"/>
  </r>
  <r>
    <s v="L1009"/>
    <x v="2"/>
    <x v="0"/>
    <d v="2025-10-31T00:00:00"/>
    <d v="2025-11-04T00:00:00"/>
    <d v="2025-11-05T00:00:00"/>
    <d v="2025-11-10T00:00:00"/>
    <x v="0"/>
    <x v="0"/>
    <d v="2025-11-22T00:00:00"/>
    <n v="6"/>
    <n v="4"/>
    <n v="1"/>
    <n v="5"/>
  </r>
  <r>
    <s v="L1010"/>
    <x v="0"/>
    <x v="1"/>
    <d v="2025-10-12T00:00:00"/>
    <m/>
    <m/>
    <m/>
    <x v="1"/>
    <x v="1"/>
    <m/>
    <m/>
    <m/>
    <n v="0"/>
    <n v="0"/>
  </r>
  <r>
    <s v="L1011"/>
    <x v="1"/>
    <x v="0"/>
    <d v="2025-10-21T00:00:00"/>
    <d v="2025-10-24T00:00:00"/>
    <d v="2025-10-28T00:00:00"/>
    <d v="2025-10-30T00:00:00"/>
    <x v="0"/>
    <x v="0"/>
    <d v="2025-11-10T00:00:00"/>
    <n v="0"/>
    <n v="3"/>
    <n v="4"/>
    <n v="2"/>
  </r>
  <r>
    <s v="L1012"/>
    <x v="1"/>
    <x v="0"/>
    <d v="2025-10-29T00:00:00"/>
    <d v="2025-11-01T00:00:00"/>
    <d v="2025-11-06T00:00:00"/>
    <d v="2025-11-13T00:00:00"/>
    <x v="0"/>
    <x v="0"/>
    <d v="2025-11-30T00:00:00"/>
    <n v="10"/>
    <n v="3"/>
    <n v="5"/>
    <n v="7"/>
  </r>
  <r>
    <s v="L1013"/>
    <x v="3"/>
    <x v="0"/>
    <d v="2025-10-27T00:00:00"/>
    <d v="2025-10-30T00:00:00"/>
    <d v="2025-11-02T00:00:00"/>
    <d v="2025-11-08T00:00:00"/>
    <x v="0"/>
    <x v="0"/>
    <d v="2025-12-07T00:00:00"/>
    <n v="2"/>
    <n v="3"/>
    <n v="3"/>
    <n v="6"/>
  </r>
  <r>
    <s v="L1014"/>
    <x v="1"/>
    <x v="2"/>
    <d v="2025-10-15T00:00:00"/>
    <d v="2025-10-17T00:00:00"/>
    <d v="2025-10-18T00:00:00"/>
    <d v="2025-10-21T00:00:00"/>
    <x v="1"/>
    <x v="3"/>
    <m/>
    <m/>
    <n v="2"/>
    <n v="1"/>
    <n v="3"/>
  </r>
  <r>
    <s v="L1015"/>
    <x v="1"/>
    <x v="0"/>
    <d v="2025-10-23T00:00:00"/>
    <d v="2025-10-27T00:00:00"/>
    <d v="2025-11-01T00:00:00"/>
    <d v="2025-11-06T00:00:00"/>
    <x v="0"/>
    <x v="0"/>
    <d v="2025-11-23T00:00:00"/>
    <n v="8"/>
    <n v="4"/>
    <n v="5"/>
    <n v="5"/>
  </r>
  <r>
    <s v="L1016"/>
    <x v="2"/>
    <x v="2"/>
    <d v="2025-10-05T00:00:00"/>
    <d v="2025-10-06T00:00:00"/>
    <d v="2025-10-10T00:00:00"/>
    <d v="2025-10-16T00:00:00"/>
    <x v="0"/>
    <x v="0"/>
    <d v="2025-10-26T00:00:00"/>
    <n v="2"/>
    <n v="1"/>
    <n v="4"/>
    <n v="6"/>
  </r>
  <r>
    <s v="L1017"/>
    <x v="0"/>
    <x v="2"/>
    <d v="2025-10-14T00:00:00"/>
    <d v="2025-10-15T00:00:00"/>
    <d v="2025-10-18T00:00:00"/>
    <d v="2025-10-23T00:00:00"/>
    <x v="0"/>
    <x v="0"/>
    <d v="2025-11-18T00:00:00"/>
    <n v="0"/>
    <n v="1"/>
    <n v="3"/>
    <n v="5"/>
  </r>
  <r>
    <s v="L1018"/>
    <x v="0"/>
    <x v="0"/>
    <d v="2025-10-06T00:00:00"/>
    <d v="2025-10-07T00:00:00"/>
    <d v="2025-10-12T00:00:00"/>
    <d v="2025-10-17T00:00:00"/>
    <x v="0"/>
    <x v="0"/>
    <d v="2025-11-11T00:00:00"/>
    <n v="5"/>
    <n v="1"/>
    <n v="5"/>
    <n v="5"/>
  </r>
  <r>
    <s v="L1019"/>
    <x v="2"/>
    <x v="0"/>
    <d v="2025-10-24T00:00:00"/>
    <d v="2025-10-25T00:00:00"/>
    <d v="2025-10-30T00:00:00"/>
    <d v="2025-11-01T00:00:00"/>
    <x v="0"/>
    <x v="0"/>
    <d v="2025-11-11T00:00:00"/>
    <n v="4"/>
    <n v="1"/>
    <n v="5"/>
    <n v="2"/>
  </r>
  <r>
    <s v="L1020"/>
    <x v="3"/>
    <x v="0"/>
    <d v="2025-10-17T00:00:00"/>
    <d v="2025-10-21T00:00:00"/>
    <d v="2025-10-23T00:00:00"/>
    <d v="2025-10-30T00:00:00"/>
    <x v="0"/>
    <x v="0"/>
    <d v="2025-11-19T00:00:00"/>
    <n v="6"/>
    <n v="4"/>
    <n v="2"/>
    <n v="7"/>
  </r>
  <r>
    <s v="L1021"/>
    <x v="0"/>
    <x v="2"/>
    <d v="2025-10-31T00:00:00"/>
    <d v="2025-11-01T00:00:00"/>
    <d v="2025-11-02T00:00:00"/>
    <d v="2025-11-05T00:00:00"/>
    <x v="0"/>
    <x v="0"/>
    <d v="2025-12-04T00:00:00"/>
    <n v="3"/>
    <n v="1"/>
    <n v="1"/>
    <n v="3"/>
  </r>
  <r>
    <s v="L1022"/>
    <x v="1"/>
    <x v="0"/>
    <d v="2025-10-21T00:00:00"/>
    <d v="2025-10-24T00:00:00"/>
    <d v="2025-10-29T00:00:00"/>
    <d v="2025-11-01T00:00:00"/>
    <x v="0"/>
    <x v="0"/>
    <d v="2025-11-17T00:00:00"/>
    <n v="8"/>
    <n v="3"/>
    <n v="5"/>
    <n v="3"/>
  </r>
  <r>
    <s v="L1023"/>
    <x v="0"/>
    <x v="0"/>
    <d v="2025-10-09T00:00:00"/>
    <d v="2025-10-11T00:00:00"/>
    <d v="2025-10-15T00:00:00"/>
    <d v="2025-10-19T00:00:00"/>
    <x v="0"/>
    <x v="0"/>
    <d v="2025-11-02T00:00:00"/>
    <n v="3"/>
    <n v="2"/>
    <n v="4"/>
    <n v="4"/>
  </r>
  <r>
    <s v="L1024"/>
    <x v="1"/>
    <x v="0"/>
    <d v="2025-10-20T00:00:00"/>
    <d v="2025-10-25T00:00:00"/>
    <d v="2025-10-27T00:00:00"/>
    <d v="2025-11-03T00:00:00"/>
    <x v="0"/>
    <x v="0"/>
    <d v="2025-11-23T00:00:00"/>
    <n v="1"/>
    <n v="5"/>
    <n v="2"/>
    <n v="7"/>
  </r>
  <r>
    <s v="L1025"/>
    <x v="3"/>
    <x v="0"/>
    <d v="2025-10-26T00:00:00"/>
    <d v="2025-10-27T00:00:00"/>
    <d v="2025-11-01T00:00:00"/>
    <d v="2025-11-03T00:00:00"/>
    <x v="0"/>
    <x v="0"/>
    <d v="2025-11-18T00:00:00"/>
    <n v="4"/>
    <n v="1"/>
    <n v="5"/>
    <n v="2"/>
  </r>
  <r>
    <s v="L1026"/>
    <x v="2"/>
    <x v="0"/>
    <d v="2025-10-30T00:00:00"/>
    <d v="2025-11-04T00:00:00"/>
    <d v="2025-11-09T00:00:00"/>
    <d v="2025-11-15T00:00:00"/>
    <x v="0"/>
    <x v="0"/>
    <d v="2025-12-05T00:00:00"/>
    <n v="1"/>
    <n v="5"/>
    <n v="5"/>
    <n v="6"/>
  </r>
  <r>
    <s v="L1027"/>
    <x v="0"/>
    <x v="0"/>
    <d v="2025-10-18T00:00:00"/>
    <d v="2025-10-23T00:00:00"/>
    <d v="2025-10-27T00:00:00"/>
    <d v="2025-10-29T00:00:00"/>
    <x v="0"/>
    <x v="0"/>
    <d v="2025-11-09T00:00:00"/>
    <n v="3"/>
    <n v="5"/>
    <n v="4"/>
    <n v="2"/>
  </r>
  <r>
    <s v="L1028"/>
    <x v="2"/>
    <x v="0"/>
    <d v="2025-10-25T00:00:00"/>
    <d v="2025-10-30T00:00:00"/>
    <d v="2025-11-01T00:00:00"/>
    <d v="2025-11-07T00:00:00"/>
    <x v="0"/>
    <x v="0"/>
    <d v="2025-11-17T00:00:00"/>
    <n v="3"/>
    <n v="5"/>
    <n v="2"/>
    <n v="6"/>
  </r>
  <r>
    <s v="L1029"/>
    <x v="0"/>
    <x v="1"/>
    <d v="2025-10-16T00:00:00"/>
    <m/>
    <m/>
    <m/>
    <x v="1"/>
    <x v="3"/>
    <m/>
    <m/>
    <m/>
    <n v="0"/>
    <n v="0"/>
  </r>
  <r>
    <s v="L1030"/>
    <x v="1"/>
    <x v="0"/>
    <d v="2025-10-15T00:00:00"/>
    <d v="2025-10-18T00:00:00"/>
    <d v="2025-10-20T00:00:00"/>
    <d v="2025-10-23T00:00:00"/>
    <x v="0"/>
    <x v="0"/>
    <d v="2025-11-06T00:00:00"/>
    <n v="3"/>
    <n v="3"/>
    <n v="2"/>
    <n v="3"/>
  </r>
  <r>
    <s v="L1031"/>
    <x v="2"/>
    <x v="0"/>
    <d v="2025-10-14T00:00:00"/>
    <d v="2025-10-15T00:00:00"/>
    <d v="2025-10-16T00:00:00"/>
    <d v="2025-10-20T00:00:00"/>
    <x v="0"/>
    <x v="0"/>
    <d v="2025-11-17T00:00:00"/>
    <n v="5"/>
    <n v="1"/>
    <n v="1"/>
    <n v="4"/>
  </r>
  <r>
    <s v="L1032"/>
    <x v="0"/>
    <x v="0"/>
    <d v="2025-10-27T00:00:00"/>
    <d v="2025-10-31T00:00:00"/>
    <d v="2025-11-05T00:00:00"/>
    <d v="2025-11-09T00:00:00"/>
    <x v="0"/>
    <x v="0"/>
    <d v="2025-11-23T00:00:00"/>
    <n v="3"/>
    <n v="4"/>
    <n v="5"/>
    <n v="4"/>
  </r>
  <r>
    <s v="L1033"/>
    <x v="1"/>
    <x v="0"/>
    <d v="2025-10-24T00:00:00"/>
    <d v="2025-10-27T00:00:00"/>
    <d v="2025-10-28T00:00:00"/>
    <d v="2025-10-31T00:00:00"/>
    <x v="0"/>
    <x v="0"/>
    <d v="2025-11-13T00:00:00"/>
    <n v="3"/>
    <n v="3"/>
    <n v="1"/>
    <n v="3"/>
  </r>
  <r>
    <s v="L1034"/>
    <x v="2"/>
    <x v="1"/>
    <d v="2025-10-19T00:00:00"/>
    <m/>
    <m/>
    <m/>
    <x v="1"/>
    <x v="2"/>
    <m/>
    <m/>
    <m/>
    <n v="0"/>
    <n v="0"/>
  </r>
  <r>
    <s v="L1035"/>
    <x v="2"/>
    <x v="0"/>
    <d v="2025-10-09T00:00:00"/>
    <d v="2025-10-13T00:00:00"/>
    <d v="2025-10-15T00:00:00"/>
    <d v="2025-10-20T00:00:00"/>
    <x v="0"/>
    <x v="0"/>
    <d v="2025-11-15T00:00:00"/>
    <n v="9"/>
    <n v="4"/>
    <n v="2"/>
    <n v="5"/>
  </r>
  <r>
    <s v="L1036"/>
    <x v="0"/>
    <x v="0"/>
    <d v="2025-10-11T00:00:00"/>
    <d v="2025-10-12T00:00:00"/>
    <d v="2025-10-13T00:00:00"/>
    <d v="2025-10-15T00:00:00"/>
    <x v="1"/>
    <x v="4"/>
    <m/>
    <m/>
    <n v="1"/>
    <n v="1"/>
    <n v="2"/>
  </r>
  <r>
    <s v="L1037"/>
    <x v="0"/>
    <x v="0"/>
    <d v="2025-10-28T00:00:00"/>
    <d v="2025-10-31T00:00:00"/>
    <d v="2025-11-04T00:00:00"/>
    <d v="2025-11-08T00:00:00"/>
    <x v="0"/>
    <x v="0"/>
    <d v="2025-11-29T00:00:00"/>
    <n v="2"/>
    <n v="3"/>
    <n v="4"/>
    <n v="4"/>
  </r>
  <r>
    <s v="L1038"/>
    <x v="0"/>
    <x v="0"/>
    <d v="2025-10-08T00:00:00"/>
    <d v="2025-10-13T00:00:00"/>
    <d v="2025-10-16T00:00:00"/>
    <d v="2025-10-23T00:00:00"/>
    <x v="0"/>
    <x v="0"/>
    <d v="2025-11-04T00:00:00"/>
    <n v="9"/>
    <n v="5"/>
    <n v="3"/>
    <n v="7"/>
  </r>
  <r>
    <s v="L1039"/>
    <x v="1"/>
    <x v="0"/>
    <d v="2025-10-27T00:00:00"/>
    <d v="2025-10-30T00:00:00"/>
    <d v="2025-11-03T00:00:00"/>
    <d v="2025-11-08T00:00:00"/>
    <x v="1"/>
    <x v="1"/>
    <m/>
    <m/>
    <n v="3"/>
    <n v="4"/>
    <n v="5"/>
  </r>
  <r>
    <s v="L1040"/>
    <x v="0"/>
    <x v="1"/>
    <d v="2025-10-30T00:00:00"/>
    <m/>
    <m/>
    <m/>
    <x v="1"/>
    <x v="2"/>
    <m/>
    <m/>
    <m/>
    <n v="0"/>
    <n v="0"/>
  </r>
  <r>
    <s v="L1041"/>
    <x v="2"/>
    <x v="0"/>
    <d v="2025-10-03T00:00:00"/>
    <d v="2025-10-06T00:00:00"/>
    <d v="2025-10-08T00:00:00"/>
    <d v="2025-10-14T00:00:00"/>
    <x v="0"/>
    <x v="0"/>
    <d v="2025-11-04T00:00:00"/>
    <n v="6"/>
    <n v="3"/>
    <n v="2"/>
    <n v="6"/>
  </r>
  <r>
    <s v="L1042"/>
    <x v="2"/>
    <x v="0"/>
    <d v="2025-10-09T00:00:00"/>
    <d v="2025-10-10T00:00:00"/>
    <d v="2025-10-14T00:00:00"/>
    <d v="2025-10-21T00:00:00"/>
    <x v="0"/>
    <x v="0"/>
    <d v="2025-11-12T00:00:00"/>
    <n v="7"/>
    <n v="1"/>
    <n v="4"/>
    <n v="7"/>
  </r>
  <r>
    <s v="L1043"/>
    <x v="0"/>
    <x v="1"/>
    <d v="2025-10-29T00:00:00"/>
    <m/>
    <m/>
    <m/>
    <x v="1"/>
    <x v="3"/>
    <m/>
    <m/>
    <m/>
    <n v="0"/>
    <n v="0"/>
  </r>
  <r>
    <s v="L1044"/>
    <x v="0"/>
    <x v="2"/>
    <d v="2025-10-15T00:00:00"/>
    <d v="2025-10-20T00:00:00"/>
    <d v="2025-10-22T00:00:00"/>
    <d v="2025-10-26T00:00:00"/>
    <x v="0"/>
    <x v="0"/>
    <d v="2025-11-23T00:00:00"/>
    <n v="8"/>
    <n v="5"/>
    <n v="2"/>
    <n v="4"/>
  </r>
  <r>
    <s v="L1045"/>
    <x v="3"/>
    <x v="2"/>
    <d v="2025-10-08T00:00:00"/>
    <d v="2025-10-13T00:00:00"/>
    <d v="2025-10-17T00:00:00"/>
    <d v="2025-10-23T00:00:00"/>
    <x v="0"/>
    <x v="0"/>
    <d v="2025-11-05T00:00:00"/>
    <n v="3"/>
    <n v="5"/>
    <n v="4"/>
    <n v="6"/>
  </r>
  <r>
    <s v="L1046"/>
    <x v="2"/>
    <x v="0"/>
    <d v="2025-10-25T00:00:00"/>
    <d v="2025-10-27T00:00:00"/>
    <d v="2025-11-01T00:00:00"/>
    <d v="2025-11-06T00:00:00"/>
    <x v="0"/>
    <x v="0"/>
    <d v="2025-11-26T00:00:00"/>
    <n v="5"/>
    <n v="2"/>
    <n v="5"/>
    <n v="5"/>
  </r>
  <r>
    <s v="L1047"/>
    <x v="1"/>
    <x v="1"/>
    <d v="2025-10-15T00:00:00"/>
    <m/>
    <m/>
    <m/>
    <x v="1"/>
    <x v="2"/>
    <m/>
    <m/>
    <m/>
    <n v="0"/>
    <n v="0"/>
  </r>
  <r>
    <s v="L1048"/>
    <x v="3"/>
    <x v="2"/>
    <d v="2025-10-19T00:00:00"/>
    <d v="2025-10-21T00:00:00"/>
    <d v="2025-10-26T00:00:00"/>
    <d v="2025-11-01T00:00:00"/>
    <x v="0"/>
    <x v="0"/>
    <d v="2025-11-20T00:00:00"/>
    <n v="0"/>
    <n v="2"/>
    <n v="5"/>
    <n v="6"/>
  </r>
  <r>
    <s v="L1049"/>
    <x v="0"/>
    <x v="2"/>
    <d v="2025-10-20T00:00:00"/>
    <d v="2025-10-24T00:00:00"/>
    <d v="2025-10-28T00:00:00"/>
    <d v="2025-11-02T00:00:00"/>
    <x v="0"/>
    <x v="0"/>
    <d v="2025-11-22T00:00:00"/>
    <n v="6"/>
    <n v="4"/>
    <n v="4"/>
    <n v="5"/>
  </r>
  <r>
    <s v="L1050"/>
    <x v="0"/>
    <x v="2"/>
    <d v="2025-10-22T00:00:00"/>
    <d v="2025-10-24T00:00:00"/>
    <d v="2025-10-25T00:00:00"/>
    <d v="2025-10-31T00:00:00"/>
    <x v="0"/>
    <x v="0"/>
    <d v="2025-11-14T00:00:00"/>
    <n v="6"/>
    <n v="2"/>
    <n v="1"/>
    <n v="6"/>
  </r>
  <r>
    <s v="L1051"/>
    <x v="2"/>
    <x v="2"/>
    <d v="2025-10-13T00:00:00"/>
    <d v="2025-10-14T00:00:00"/>
    <d v="2025-10-16T00:00:00"/>
    <d v="2025-10-18T00:00:00"/>
    <x v="0"/>
    <x v="0"/>
    <d v="2025-11-02T00:00:00"/>
    <n v="6"/>
    <n v="1"/>
    <n v="2"/>
    <n v="2"/>
  </r>
  <r>
    <s v="L1052"/>
    <x v="0"/>
    <x v="2"/>
    <d v="2025-10-11T00:00:00"/>
    <d v="2025-10-14T00:00:00"/>
    <d v="2025-10-19T00:00:00"/>
    <d v="2025-10-23T00:00:00"/>
    <x v="0"/>
    <x v="0"/>
    <d v="2025-11-15T00:00:00"/>
    <n v="4"/>
    <n v="3"/>
    <n v="5"/>
    <n v="4"/>
  </r>
  <r>
    <s v="L1053"/>
    <x v="1"/>
    <x v="0"/>
    <d v="2025-10-01T00:00:00"/>
    <d v="2025-10-06T00:00:00"/>
    <d v="2025-10-08T00:00:00"/>
    <d v="2025-10-12T00:00:00"/>
    <x v="0"/>
    <x v="0"/>
    <d v="2025-11-11T00:00:00"/>
    <n v="4"/>
    <n v="5"/>
    <n v="2"/>
    <n v="4"/>
  </r>
  <r>
    <s v="L1054"/>
    <x v="2"/>
    <x v="0"/>
    <d v="2025-10-16T00:00:00"/>
    <d v="2025-10-19T00:00:00"/>
    <d v="2025-10-24T00:00:00"/>
    <d v="2025-10-29T00:00:00"/>
    <x v="0"/>
    <x v="0"/>
    <d v="2025-11-23T00:00:00"/>
    <n v="8"/>
    <n v="3"/>
    <n v="5"/>
    <n v="5"/>
  </r>
  <r>
    <s v="L1055"/>
    <x v="0"/>
    <x v="2"/>
    <d v="2025-10-28T00:00:00"/>
    <d v="2025-10-29T00:00:00"/>
    <d v="2025-11-01T00:00:00"/>
    <d v="2025-11-07T00:00:00"/>
    <x v="0"/>
    <x v="0"/>
    <d v="2025-12-07T00:00:00"/>
    <n v="3"/>
    <n v="1"/>
    <n v="3"/>
    <n v="6"/>
  </r>
  <r>
    <s v="L1056"/>
    <x v="2"/>
    <x v="0"/>
    <d v="2025-10-11T00:00:00"/>
    <d v="2025-10-14T00:00:00"/>
    <d v="2025-10-18T00:00:00"/>
    <d v="2025-10-21T00:00:00"/>
    <x v="0"/>
    <x v="0"/>
    <d v="2025-11-10T00:00:00"/>
    <n v="6"/>
    <n v="3"/>
    <n v="4"/>
    <n v="3"/>
  </r>
  <r>
    <s v="L1057"/>
    <x v="0"/>
    <x v="2"/>
    <d v="2025-10-06T00:00:00"/>
    <d v="2025-10-11T00:00:00"/>
    <d v="2025-10-16T00:00:00"/>
    <d v="2025-10-23T00:00:00"/>
    <x v="0"/>
    <x v="0"/>
    <d v="2025-11-07T00:00:00"/>
    <n v="1"/>
    <n v="5"/>
    <n v="5"/>
    <n v="7"/>
  </r>
  <r>
    <s v="L1058"/>
    <x v="0"/>
    <x v="0"/>
    <d v="2025-10-16T00:00:00"/>
    <d v="2025-10-18T00:00:00"/>
    <d v="2025-10-22T00:00:00"/>
    <d v="2025-10-29T00:00:00"/>
    <x v="1"/>
    <x v="4"/>
    <m/>
    <m/>
    <n v="2"/>
    <n v="4"/>
    <n v="7"/>
  </r>
  <r>
    <s v="L1059"/>
    <x v="0"/>
    <x v="0"/>
    <d v="2025-10-07T00:00:00"/>
    <d v="2025-10-11T00:00:00"/>
    <d v="2025-10-14T00:00:00"/>
    <d v="2025-10-18T00:00:00"/>
    <x v="0"/>
    <x v="0"/>
    <d v="2025-11-14T00:00:00"/>
    <n v="2"/>
    <n v="4"/>
    <n v="3"/>
    <n v="4"/>
  </r>
  <r>
    <s v="L1060"/>
    <x v="1"/>
    <x v="0"/>
    <d v="2025-10-12T00:00:00"/>
    <d v="2025-10-17T00:00:00"/>
    <d v="2025-10-19T00:00:00"/>
    <d v="2025-10-25T00:00:00"/>
    <x v="0"/>
    <x v="0"/>
    <d v="2025-11-23T00:00:00"/>
    <n v="7"/>
    <n v="5"/>
    <n v="2"/>
    <n v="6"/>
  </r>
  <r>
    <s v="L1061"/>
    <x v="1"/>
    <x v="2"/>
    <d v="2025-10-26T00:00:00"/>
    <d v="2025-10-31T00:00:00"/>
    <d v="2025-11-04T00:00:00"/>
    <d v="2025-11-10T00:00:00"/>
    <x v="0"/>
    <x v="0"/>
    <d v="2025-12-01T00:00:00"/>
    <n v="9"/>
    <n v="5"/>
    <n v="4"/>
    <n v="6"/>
  </r>
  <r>
    <s v="L1062"/>
    <x v="2"/>
    <x v="0"/>
    <d v="2025-10-09T00:00:00"/>
    <d v="2025-10-14T00:00:00"/>
    <d v="2025-10-19T00:00:00"/>
    <d v="2025-10-21T00:00:00"/>
    <x v="0"/>
    <x v="0"/>
    <d v="2025-11-07T00:00:00"/>
    <n v="3"/>
    <n v="5"/>
    <n v="5"/>
    <n v="2"/>
  </r>
  <r>
    <s v="L1063"/>
    <x v="0"/>
    <x v="2"/>
    <d v="2025-10-11T00:00:00"/>
    <d v="2025-10-16T00:00:00"/>
    <d v="2025-10-19T00:00:00"/>
    <d v="2025-10-26T00:00:00"/>
    <x v="0"/>
    <x v="0"/>
    <d v="2025-11-23T00:00:00"/>
    <n v="3"/>
    <n v="5"/>
    <n v="3"/>
    <n v="7"/>
  </r>
  <r>
    <s v="L1064"/>
    <x v="0"/>
    <x v="1"/>
    <d v="2025-10-09T00:00:00"/>
    <m/>
    <m/>
    <m/>
    <x v="1"/>
    <x v="1"/>
    <m/>
    <m/>
    <m/>
    <n v="0"/>
    <n v="0"/>
  </r>
  <r>
    <s v="L1065"/>
    <x v="1"/>
    <x v="0"/>
    <d v="2025-10-29T00:00:00"/>
    <d v="2025-10-30T00:00:00"/>
    <d v="2025-11-04T00:00:00"/>
    <d v="2025-11-07T00:00:00"/>
    <x v="0"/>
    <x v="0"/>
    <d v="2025-11-22T00:00:00"/>
    <n v="10"/>
    <n v="1"/>
    <n v="5"/>
    <n v="3"/>
  </r>
  <r>
    <s v="L1066"/>
    <x v="0"/>
    <x v="0"/>
    <d v="2025-10-20T00:00:00"/>
    <d v="2025-10-25T00:00:00"/>
    <d v="2025-10-28T00:00:00"/>
    <d v="2025-11-01T00:00:00"/>
    <x v="0"/>
    <x v="0"/>
    <d v="2025-11-23T00:00:00"/>
    <n v="4"/>
    <n v="5"/>
    <n v="3"/>
    <n v="4"/>
  </r>
  <r>
    <s v="L1067"/>
    <x v="1"/>
    <x v="2"/>
    <d v="2025-10-23T00:00:00"/>
    <d v="2025-10-26T00:00:00"/>
    <d v="2025-10-29T00:00:00"/>
    <d v="2025-10-31T00:00:00"/>
    <x v="0"/>
    <x v="0"/>
    <d v="2025-11-19T00:00:00"/>
    <n v="5"/>
    <n v="3"/>
    <n v="3"/>
    <n v="2"/>
  </r>
  <r>
    <s v="L1068"/>
    <x v="0"/>
    <x v="1"/>
    <d v="2025-10-29T00:00:00"/>
    <m/>
    <m/>
    <m/>
    <x v="1"/>
    <x v="4"/>
    <m/>
    <m/>
    <m/>
    <n v="0"/>
    <n v="0"/>
  </r>
  <r>
    <s v="L1069"/>
    <x v="2"/>
    <x v="2"/>
    <d v="2025-10-09T00:00:00"/>
    <d v="2025-10-10T00:00:00"/>
    <d v="2025-10-15T00:00:00"/>
    <d v="2025-10-18T00:00:00"/>
    <x v="0"/>
    <x v="0"/>
    <d v="2025-11-06T00:00:00"/>
    <n v="1"/>
    <n v="1"/>
    <n v="5"/>
    <n v="3"/>
  </r>
  <r>
    <s v="L1070"/>
    <x v="0"/>
    <x v="2"/>
    <d v="2025-10-18T00:00:00"/>
    <d v="2025-10-20T00:00:00"/>
    <d v="2025-10-24T00:00:00"/>
    <d v="2025-10-28T00:00:00"/>
    <x v="0"/>
    <x v="0"/>
    <d v="2025-11-11T00:00:00"/>
    <n v="10"/>
    <n v="2"/>
    <n v="4"/>
    <n v="4"/>
  </r>
  <r>
    <s v="L1071"/>
    <x v="0"/>
    <x v="0"/>
    <d v="2025-10-01T00:00:00"/>
    <d v="2025-10-04T00:00:00"/>
    <d v="2025-10-06T00:00:00"/>
    <d v="2025-10-08T00:00:00"/>
    <x v="0"/>
    <x v="0"/>
    <d v="2025-10-23T00:00:00"/>
    <n v="7"/>
    <n v="3"/>
    <n v="2"/>
    <n v="2"/>
  </r>
  <r>
    <s v="L1072"/>
    <x v="3"/>
    <x v="2"/>
    <d v="2025-10-17T00:00:00"/>
    <d v="2025-10-20T00:00:00"/>
    <d v="2025-10-22T00:00:00"/>
    <d v="2025-10-25T00:00:00"/>
    <x v="0"/>
    <x v="0"/>
    <d v="2025-11-04T00:00:00"/>
    <n v="6"/>
    <n v="3"/>
    <n v="2"/>
    <n v="3"/>
  </r>
  <r>
    <s v="L1073"/>
    <x v="1"/>
    <x v="1"/>
    <d v="2025-10-31T00:00:00"/>
    <m/>
    <m/>
    <m/>
    <x v="1"/>
    <x v="5"/>
    <m/>
    <m/>
    <m/>
    <n v="0"/>
    <n v="0"/>
  </r>
  <r>
    <s v="L1074"/>
    <x v="0"/>
    <x v="0"/>
    <d v="2025-10-07T00:00:00"/>
    <d v="2025-10-10T00:00:00"/>
    <d v="2025-10-13T00:00:00"/>
    <d v="2025-10-17T00:00:00"/>
    <x v="0"/>
    <x v="0"/>
    <d v="2025-11-14T00:00:00"/>
    <n v="0"/>
    <n v="3"/>
    <n v="3"/>
    <n v="4"/>
  </r>
  <r>
    <s v="L1075"/>
    <x v="0"/>
    <x v="2"/>
    <d v="2025-10-03T00:00:00"/>
    <d v="2025-10-06T00:00:00"/>
    <d v="2025-10-11T00:00:00"/>
    <d v="2025-10-18T00:00:00"/>
    <x v="0"/>
    <x v="0"/>
    <d v="2025-11-09T00:00:00"/>
    <n v="1"/>
    <n v="3"/>
    <n v="5"/>
    <n v="7"/>
  </r>
  <r>
    <s v="L1076"/>
    <x v="3"/>
    <x v="0"/>
    <d v="2025-10-08T00:00:00"/>
    <d v="2025-10-09T00:00:00"/>
    <d v="2025-10-12T00:00:00"/>
    <d v="2025-10-15T00:00:00"/>
    <x v="0"/>
    <x v="0"/>
    <d v="2025-11-12T00:00:00"/>
    <n v="8"/>
    <n v="1"/>
    <n v="3"/>
    <n v="3"/>
  </r>
  <r>
    <s v="L1077"/>
    <x v="3"/>
    <x v="1"/>
    <d v="2025-10-24T00:00:00"/>
    <m/>
    <m/>
    <m/>
    <x v="1"/>
    <x v="1"/>
    <m/>
    <m/>
    <m/>
    <n v="0"/>
    <n v="0"/>
  </r>
  <r>
    <s v="L1078"/>
    <x v="1"/>
    <x v="1"/>
    <d v="2025-10-14T00:00:00"/>
    <m/>
    <m/>
    <m/>
    <x v="1"/>
    <x v="4"/>
    <m/>
    <m/>
    <m/>
    <n v="0"/>
    <n v="0"/>
  </r>
  <r>
    <s v="L1079"/>
    <x v="3"/>
    <x v="0"/>
    <d v="2025-10-16T00:00:00"/>
    <d v="2025-10-18T00:00:00"/>
    <d v="2025-10-20T00:00:00"/>
    <d v="2025-10-26T00:00:00"/>
    <x v="1"/>
    <x v="3"/>
    <m/>
    <m/>
    <n v="2"/>
    <n v="2"/>
    <n v="6"/>
  </r>
  <r>
    <s v="L1080"/>
    <x v="2"/>
    <x v="1"/>
    <d v="2025-10-18T00:00:00"/>
    <m/>
    <m/>
    <m/>
    <x v="1"/>
    <x v="1"/>
    <m/>
    <m/>
    <m/>
    <n v="0"/>
    <n v="0"/>
  </r>
  <r>
    <s v="L1081"/>
    <x v="3"/>
    <x v="1"/>
    <d v="2025-10-25T00:00:00"/>
    <m/>
    <m/>
    <m/>
    <x v="1"/>
    <x v="1"/>
    <m/>
    <m/>
    <m/>
    <n v="0"/>
    <n v="0"/>
  </r>
  <r>
    <s v="L1082"/>
    <x v="2"/>
    <x v="0"/>
    <d v="2025-10-08T00:00:00"/>
    <d v="2025-10-10T00:00:00"/>
    <d v="2025-10-13T00:00:00"/>
    <d v="2025-10-18T00:00:00"/>
    <x v="0"/>
    <x v="0"/>
    <d v="2025-10-29T00:00:00"/>
    <n v="5"/>
    <n v="2"/>
    <n v="3"/>
    <n v="5"/>
  </r>
  <r>
    <s v="L1083"/>
    <x v="1"/>
    <x v="2"/>
    <d v="2025-10-23T00:00:00"/>
    <d v="2025-10-28T00:00:00"/>
    <d v="2025-10-31T00:00:00"/>
    <d v="2025-11-05T00:00:00"/>
    <x v="0"/>
    <x v="0"/>
    <d v="2025-11-20T00:00:00"/>
    <n v="5"/>
    <n v="5"/>
    <n v="3"/>
    <n v="5"/>
  </r>
  <r>
    <s v="L1084"/>
    <x v="1"/>
    <x v="0"/>
    <d v="2025-10-16T00:00:00"/>
    <d v="2025-10-20T00:00:00"/>
    <d v="2025-10-22T00:00:00"/>
    <d v="2025-10-28T00:00:00"/>
    <x v="0"/>
    <x v="0"/>
    <d v="2025-11-26T00:00:00"/>
    <n v="4"/>
    <n v="4"/>
    <n v="2"/>
    <n v="6"/>
  </r>
  <r>
    <s v="L1085"/>
    <x v="1"/>
    <x v="1"/>
    <d v="2025-10-21T00:00:00"/>
    <m/>
    <m/>
    <m/>
    <x v="1"/>
    <x v="2"/>
    <m/>
    <m/>
    <m/>
    <n v="0"/>
    <n v="0"/>
  </r>
  <r>
    <s v="L1086"/>
    <x v="1"/>
    <x v="2"/>
    <d v="2025-10-23T00:00:00"/>
    <d v="2025-10-24T00:00:00"/>
    <d v="2025-10-28T00:00:00"/>
    <d v="2025-10-31T00:00:00"/>
    <x v="0"/>
    <x v="0"/>
    <d v="2025-11-20T00:00:00"/>
    <n v="7"/>
    <n v="1"/>
    <n v="4"/>
    <n v="3"/>
  </r>
  <r>
    <s v="L1087"/>
    <x v="1"/>
    <x v="1"/>
    <d v="2025-10-16T00:00:00"/>
    <m/>
    <m/>
    <m/>
    <x v="1"/>
    <x v="3"/>
    <m/>
    <m/>
    <m/>
    <n v="0"/>
    <n v="0"/>
  </r>
  <r>
    <s v="L1088"/>
    <x v="2"/>
    <x v="2"/>
    <d v="2025-10-15T00:00:00"/>
    <d v="2025-10-17T00:00:00"/>
    <d v="2025-10-20T00:00:00"/>
    <d v="2025-10-26T00:00:00"/>
    <x v="0"/>
    <x v="0"/>
    <d v="2025-11-24T00:00:00"/>
    <n v="5"/>
    <n v="2"/>
    <n v="3"/>
    <n v="6"/>
  </r>
  <r>
    <s v="L1089"/>
    <x v="2"/>
    <x v="2"/>
    <d v="2025-10-26T00:00:00"/>
    <d v="2025-10-27T00:00:00"/>
    <d v="2025-10-31T00:00:00"/>
    <d v="2025-11-05T00:00:00"/>
    <x v="0"/>
    <x v="0"/>
    <d v="2025-11-22T00:00:00"/>
    <n v="8"/>
    <n v="1"/>
    <n v="4"/>
    <n v="5"/>
  </r>
  <r>
    <s v="L1090"/>
    <x v="1"/>
    <x v="0"/>
    <d v="2025-10-01T00:00:00"/>
    <d v="2025-10-02T00:00:00"/>
    <d v="2025-10-05T00:00:00"/>
    <d v="2025-10-10T00:00:00"/>
    <x v="0"/>
    <x v="0"/>
    <d v="2025-11-09T00:00:00"/>
    <n v="0"/>
    <n v="1"/>
    <n v="3"/>
    <n v="5"/>
  </r>
  <r>
    <s v="L1091"/>
    <x v="3"/>
    <x v="2"/>
    <d v="2025-10-03T00:00:00"/>
    <d v="2025-10-08T00:00:00"/>
    <d v="2025-10-13T00:00:00"/>
    <d v="2025-10-16T00:00:00"/>
    <x v="0"/>
    <x v="0"/>
    <d v="2025-11-13T00:00:00"/>
    <n v="9"/>
    <n v="5"/>
    <n v="5"/>
    <n v="3"/>
  </r>
  <r>
    <s v="L1092"/>
    <x v="0"/>
    <x v="1"/>
    <d v="2025-10-10T00:00:00"/>
    <m/>
    <m/>
    <m/>
    <x v="1"/>
    <x v="5"/>
    <m/>
    <m/>
    <m/>
    <n v="0"/>
    <n v="0"/>
  </r>
  <r>
    <s v="L1093"/>
    <x v="1"/>
    <x v="1"/>
    <d v="2025-10-08T00:00:00"/>
    <m/>
    <m/>
    <m/>
    <x v="1"/>
    <x v="4"/>
    <m/>
    <m/>
    <m/>
    <n v="0"/>
    <n v="0"/>
  </r>
  <r>
    <s v="L1094"/>
    <x v="3"/>
    <x v="1"/>
    <d v="2025-10-13T00:00:00"/>
    <m/>
    <m/>
    <m/>
    <x v="1"/>
    <x v="2"/>
    <m/>
    <m/>
    <m/>
    <n v="0"/>
    <n v="0"/>
  </r>
  <r>
    <s v="L1095"/>
    <x v="0"/>
    <x v="0"/>
    <d v="2025-10-23T00:00:00"/>
    <d v="2025-10-25T00:00:00"/>
    <d v="2025-10-28T00:00:00"/>
    <d v="2025-11-02T00:00:00"/>
    <x v="0"/>
    <x v="0"/>
    <d v="2025-11-15T00:00:00"/>
    <n v="9"/>
    <n v="2"/>
    <n v="3"/>
    <n v="5"/>
  </r>
  <r>
    <s v="L1096"/>
    <x v="1"/>
    <x v="2"/>
    <d v="2025-10-08T00:00:00"/>
    <d v="2025-10-12T00:00:00"/>
    <d v="2025-10-15T00:00:00"/>
    <d v="2025-10-22T00:00:00"/>
    <x v="1"/>
    <x v="4"/>
    <m/>
    <m/>
    <n v="4"/>
    <n v="3"/>
    <n v="7"/>
  </r>
  <r>
    <s v="L1097"/>
    <x v="1"/>
    <x v="0"/>
    <d v="2025-10-10T00:00:00"/>
    <d v="2025-10-14T00:00:00"/>
    <d v="2025-10-15T00:00:00"/>
    <d v="2025-10-21T00:00:00"/>
    <x v="0"/>
    <x v="0"/>
    <d v="2025-11-15T00:00:00"/>
    <n v="6"/>
    <n v="4"/>
    <n v="1"/>
    <n v="6"/>
  </r>
  <r>
    <s v="L1098"/>
    <x v="2"/>
    <x v="0"/>
    <d v="2025-10-22T00:00:00"/>
    <d v="2025-10-26T00:00:00"/>
    <d v="2025-10-31T00:00:00"/>
    <d v="2025-11-07T00:00:00"/>
    <x v="0"/>
    <x v="0"/>
    <d v="2025-11-21T00:00:00"/>
    <n v="0"/>
    <n v="4"/>
    <n v="5"/>
    <n v="7"/>
  </r>
  <r>
    <s v="L1099"/>
    <x v="0"/>
    <x v="0"/>
    <d v="2025-10-19T00:00:00"/>
    <d v="2025-10-22T00:00:00"/>
    <d v="2025-10-27T00:00:00"/>
    <d v="2025-11-03T00:00:00"/>
    <x v="0"/>
    <x v="0"/>
    <d v="2025-11-23T00:00:00"/>
    <n v="10"/>
    <n v="3"/>
    <n v="5"/>
    <n v="7"/>
  </r>
  <r>
    <s v="L1100"/>
    <x v="0"/>
    <x v="2"/>
    <d v="2025-10-12T00:00:00"/>
    <d v="2025-10-14T00:00:00"/>
    <d v="2025-10-18T00:00:00"/>
    <d v="2025-10-21T00:00:00"/>
    <x v="0"/>
    <x v="0"/>
    <d v="2025-11-02T00:00:00"/>
    <n v="1"/>
    <n v="2"/>
    <n v="4"/>
    <n v="3"/>
  </r>
  <r>
    <s v="L1101"/>
    <x v="3"/>
    <x v="0"/>
    <d v="2025-10-16T00:00:00"/>
    <d v="2025-10-19T00:00:00"/>
    <d v="2025-10-23T00:00:00"/>
    <d v="2025-10-29T00:00:00"/>
    <x v="0"/>
    <x v="0"/>
    <d v="2025-11-15T00:00:00"/>
    <n v="1"/>
    <n v="3"/>
    <n v="4"/>
    <n v="6"/>
  </r>
  <r>
    <s v="L1102"/>
    <x v="2"/>
    <x v="0"/>
    <d v="2025-10-18T00:00:00"/>
    <d v="2025-10-21T00:00:00"/>
    <d v="2025-10-24T00:00:00"/>
    <d v="2025-10-27T00:00:00"/>
    <x v="0"/>
    <x v="0"/>
    <d v="2025-11-17T00:00:00"/>
    <n v="0"/>
    <n v="3"/>
    <n v="3"/>
    <n v="3"/>
  </r>
  <r>
    <s v="L1103"/>
    <x v="2"/>
    <x v="1"/>
    <d v="2025-10-17T00:00:00"/>
    <m/>
    <m/>
    <m/>
    <x v="1"/>
    <x v="5"/>
    <m/>
    <m/>
    <m/>
    <n v="0"/>
    <n v="0"/>
  </r>
  <r>
    <s v="L1104"/>
    <x v="2"/>
    <x v="1"/>
    <d v="2025-10-12T00:00:00"/>
    <m/>
    <m/>
    <m/>
    <x v="1"/>
    <x v="5"/>
    <m/>
    <m/>
    <m/>
    <n v="0"/>
    <n v="0"/>
  </r>
  <r>
    <s v="L1105"/>
    <x v="2"/>
    <x v="0"/>
    <d v="2025-10-14T00:00:00"/>
    <d v="2025-10-17T00:00:00"/>
    <d v="2025-10-19T00:00:00"/>
    <d v="2025-10-24T00:00:00"/>
    <x v="0"/>
    <x v="0"/>
    <d v="2025-11-13T00:00:00"/>
    <n v="2"/>
    <n v="3"/>
    <n v="2"/>
    <n v="5"/>
  </r>
  <r>
    <s v="L1106"/>
    <x v="0"/>
    <x v="0"/>
    <d v="2025-10-24T00:00:00"/>
    <d v="2025-10-29T00:00:00"/>
    <d v="2025-11-01T00:00:00"/>
    <d v="2025-11-05T00:00:00"/>
    <x v="1"/>
    <x v="1"/>
    <m/>
    <m/>
    <n v="5"/>
    <n v="3"/>
    <n v="4"/>
  </r>
  <r>
    <s v="L1107"/>
    <x v="0"/>
    <x v="0"/>
    <d v="2025-10-18T00:00:00"/>
    <d v="2025-10-23T00:00:00"/>
    <d v="2025-10-24T00:00:00"/>
    <d v="2025-10-27T00:00:00"/>
    <x v="0"/>
    <x v="0"/>
    <d v="2025-11-11T00:00:00"/>
    <n v="10"/>
    <n v="5"/>
    <n v="1"/>
    <n v="3"/>
  </r>
  <r>
    <s v="L1108"/>
    <x v="1"/>
    <x v="2"/>
    <d v="2025-10-11T00:00:00"/>
    <d v="2025-10-12T00:00:00"/>
    <d v="2025-10-15T00:00:00"/>
    <d v="2025-10-18T00:00:00"/>
    <x v="0"/>
    <x v="0"/>
    <d v="2025-11-17T00:00:00"/>
    <n v="4"/>
    <n v="1"/>
    <n v="3"/>
    <n v="3"/>
  </r>
  <r>
    <s v="L1109"/>
    <x v="1"/>
    <x v="1"/>
    <d v="2025-10-12T00:00:00"/>
    <m/>
    <m/>
    <m/>
    <x v="1"/>
    <x v="5"/>
    <m/>
    <m/>
    <m/>
    <n v="0"/>
    <n v="0"/>
  </r>
  <r>
    <s v="L1110"/>
    <x v="2"/>
    <x v="1"/>
    <d v="2025-10-23T00:00:00"/>
    <m/>
    <m/>
    <m/>
    <x v="1"/>
    <x v="4"/>
    <m/>
    <m/>
    <m/>
    <n v="0"/>
    <n v="0"/>
  </r>
  <r>
    <s v="L1111"/>
    <x v="2"/>
    <x v="0"/>
    <d v="2025-10-15T00:00:00"/>
    <d v="2025-10-16T00:00:00"/>
    <d v="2025-10-17T00:00:00"/>
    <d v="2025-10-21T00:00:00"/>
    <x v="0"/>
    <x v="0"/>
    <d v="2025-11-02T00:00:00"/>
    <n v="2"/>
    <n v="1"/>
    <n v="1"/>
    <n v="4"/>
  </r>
  <r>
    <s v="L1112"/>
    <x v="2"/>
    <x v="0"/>
    <d v="2025-10-09T00:00:00"/>
    <d v="2025-10-11T00:00:00"/>
    <d v="2025-10-14T00:00:00"/>
    <d v="2025-10-19T00:00:00"/>
    <x v="1"/>
    <x v="3"/>
    <m/>
    <m/>
    <n v="2"/>
    <n v="3"/>
    <n v="5"/>
  </r>
  <r>
    <s v="L1113"/>
    <x v="1"/>
    <x v="2"/>
    <d v="2025-10-10T00:00:00"/>
    <d v="2025-10-12T00:00:00"/>
    <d v="2025-10-16T00:00:00"/>
    <d v="2025-10-22T00:00:00"/>
    <x v="0"/>
    <x v="0"/>
    <d v="2025-11-21T00:00:00"/>
    <n v="6"/>
    <n v="2"/>
    <n v="4"/>
    <n v="6"/>
  </r>
  <r>
    <s v="L1114"/>
    <x v="3"/>
    <x v="0"/>
    <d v="2025-10-09T00:00:00"/>
    <d v="2025-10-14T00:00:00"/>
    <d v="2025-10-17T00:00:00"/>
    <d v="2025-10-19T00:00:00"/>
    <x v="0"/>
    <x v="0"/>
    <d v="2025-11-08T00:00:00"/>
    <n v="10"/>
    <n v="5"/>
    <n v="3"/>
    <n v="2"/>
  </r>
  <r>
    <s v="L1115"/>
    <x v="3"/>
    <x v="2"/>
    <d v="2025-10-08T00:00:00"/>
    <d v="2025-10-09T00:00:00"/>
    <d v="2025-10-13T00:00:00"/>
    <d v="2025-10-17T00:00:00"/>
    <x v="0"/>
    <x v="0"/>
    <d v="2025-11-10T00:00:00"/>
    <n v="8"/>
    <n v="1"/>
    <n v="4"/>
    <n v="4"/>
  </r>
  <r>
    <s v="L1116"/>
    <x v="1"/>
    <x v="1"/>
    <d v="2025-10-04T00:00:00"/>
    <m/>
    <m/>
    <m/>
    <x v="1"/>
    <x v="3"/>
    <m/>
    <m/>
    <m/>
    <n v="0"/>
    <n v="0"/>
  </r>
  <r>
    <s v="L1117"/>
    <x v="1"/>
    <x v="2"/>
    <d v="2025-10-24T00:00:00"/>
    <d v="2025-10-25T00:00:00"/>
    <d v="2025-10-27T00:00:00"/>
    <d v="2025-10-29T00:00:00"/>
    <x v="0"/>
    <x v="0"/>
    <d v="2025-11-08T00:00:00"/>
    <n v="1"/>
    <n v="1"/>
    <n v="2"/>
    <n v="2"/>
  </r>
  <r>
    <s v="L1118"/>
    <x v="1"/>
    <x v="0"/>
    <d v="2025-10-07T00:00:00"/>
    <d v="2025-10-10T00:00:00"/>
    <d v="2025-10-12T00:00:00"/>
    <d v="2025-10-17T00:00:00"/>
    <x v="0"/>
    <x v="0"/>
    <d v="2025-11-04T00:00:00"/>
    <n v="5"/>
    <n v="3"/>
    <n v="2"/>
    <n v="5"/>
  </r>
  <r>
    <s v="L1119"/>
    <x v="1"/>
    <x v="1"/>
    <d v="2025-10-11T00:00:00"/>
    <m/>
    <m/>
    <m/>
    <x v="1"/>
    <x v="1"/>
    <m/>
    <m/>
    <m/>
    <n v="0"/>
    <n v="0"/>
  </r>
  <r>
    <s v="L1120"/>
    <x v="1"/>
    <x v="0"/>
    <d v="2025-10-04T00:00:00"/>
    <d v="2025-10-08T00:00:00"/>
    <d v="2025-10-13T00:00:00"/>
    <d v="2025-10-16T00:00:00"/>
    <x v="0"/>
    <x v="0"/>
    <d v="2025-11-01T00:00:00"/>
    <n v="1"/>
    <n v="4"/>
    <n v="5"/>
    <n v="3"/>
  </r>
  <r>
    <s v="L1121"/>
    <x v="1"/>
    <x v="2"/>
    <d v="2025-10-24T00:00:00"/>
    <d v="2025-10-28T00:00:00"/>
    <d v="2025-10-31T00:00:00"/>
    <d v="2025-11-03T00:00:00"/>
    <x v="0"/>
    <x v="0"/>
    <d v="2025-11-20T00:00:00"/>
    <n v="2"/>
    <n v="4"/>
    <n v="3"/>
    <n v="3"/>
  </r>
  <r>
    <s v="L1122"/>
    <x v="2"/>
    <x v="2"/>
    <d v="2025-10-18T00:00:00"/>
    <d v="2025-10-22T00:00:00"/>
    <d v="2025-10-27T00:00:00"/>
    <d v="2025-11-01T00:00:00"/>
    <x v="0"/>
    <x v="0"/>
    <d v="2025-11-13T00:00:00"/>
    <n v="6"/>
    <n v="4"/>
    <n v="5"/>
    <n v="5"/>
  </r>
  <r>
    <s v="L1123"/>
    <x v="2"/>
    <x v="2"/>
    <d v="2025-10-31T00:00:00"/>
    <d v="2025-11-05T00:00:00"/>
    <d v="2025-11-08T00:00:00"/>
    <d v="2025-11-14T00:00:00"/>
    <x v="0"/>
    <x v="0"/>
    <d v="2025-12-05T00:00:00"/>
    <n v="5"/>
    <n v="5"/>
    <n v="3"/>
    <n v="6"/>
  </r>
  <r>
    <s v="L1124"/>
    <x v="2"/>
    <x v="0"/>
    <d v="2025-10-25T00:00:00"/>
    <d v="2025-10-29T00:00:00"/>
    <d v="2025-10-31T00:00:00"/>
    <d v="2025-11-06T00:00:00"/>
    <x v="0"/>
    <x v="0"/>
    <d v="2025-11-24T00:00:00"/>
    <n v="4"/>
    <n v="4"/>
    <n v="2"/>
    <n v="6"/>
  </r>
  <r>
    <s v="L1125"/>
    <x v="2"/>
    <x v="2"/>
    <d v="2025-10-23T00:00:00"/>
    <d v="2025-10-27T00:00:00"/>
    <d v="2025-10-28T00:00:00"/>
    <d v="2025-11-04T00:00:00"/>
    <x v="0"/>
    <x v="0"/>
    <d v="2025-11-17T00:00:00"/>
    <n v="0"/>
    <n v="4"/>
    <n v="1"/>
    <n v="7"/>
  </r>
  <r>
    <s v="L1126"/>
    <x v="1"/>
    <x v="0"/>
    <d v="2025-10-06T00:00:00"/>
    <d v="2025-10-09T00:00:00"/>
    <d v="2025-10-14T00:00:00"/>
    <d v="2025-10-19T00:00:00"/>
    <x v="0"/>
    <x v="0"/>
    <d v="2025-10-29T00:00:00"/>
    <n v="4"/>
    <n v="3"/>
    <n v="5"/>
    <n v="5"/>
  </r>
  <r>
    <s v="L1127"/>
    <x v="3"/>
    <x v="1"/>
    <d v="2025-10-07T00:00:00"/>
    <m/>
    <m/>
    <m/>
    <x v="1"/>
    <x v="4"/>
    <m/>
    <m/>
    <m/>
    <n v="0"/>
    <n v="0"/>
  </r>
  <r>
    <s v="L1128"/>
    <x v="0"/>
    <x v="2"/>
    <d v="2025-10-07T00:00:00"/>
    <d v="2025-10-09T00:00:00"/>
    <d v="2025-10-14T00:00:00"/>
    <d v="2025-10-19T00:00:00"/>
    <x v="0"/>
    <x v="0"/>
    <d v="2025-10-30T00:00:00"/>
    <n v="4"/>
    <n v="2"/>
    <n v="5"/>
    <n v="5"/>
  </r>
  <r>
    <s v="L1129"/>
    <x v="1"/>
    <x v="1"/>
    <d v="2025-10-24T00:00:00"/>
    <m/>
    <m/>
    <m/>
    <x v="1"/>
    <x v="4"/>
    <m/>
    <m/>
    <m/>
    <n v="0"/>
    <n v="0"/>
  </r>
  <r>
    <s v="L1130"/>
    <x v="0"/>
    <x v="1"/>
    <d v="2025-10-16T00:00:00"/>
    <m/>
    <m/>
    <m/>
    <x v="1"/>
    <x v="5"/>
    <m/>
    <m/>
    <m/>
    <n v="0"/>
    <n v="0"/>
  </r>
  <r>
    <s v="L1131"/>
    <x v="3"/>
    <x v="2"/>
    <d v="2025-10-09T00:00:00"/>
    <d v="2025-10-14T00:00:00"/>
    <d v="2025-10-16T00:00:00"/>
    <d v="2025-10-23T00:00:00"/>
    <x v="0"/>
    <x v="0"/>
    <d v="2025-11-14T00:00:00"/>
    <n v="4"/>
    <n v="5"/>
    <n v="2"/>
    <n v="7"/>
  </r>
  <r>
    <s v="L1132"/>
    <x v="2"/>
    <x v="1"/>
    <d v="2025-10-24T00:00:00"/>
    <m/>
    <m/>
    <m/>
    <x v="1"/>
    <x v="4"/>
    <m/>
    <m/>
    <m/>
    <n v="0"/>
    <n v="0"/>
  </r>
  <r>
    <s v="L1133"/>
    <x v="3"/>
    <x v="0"/>
    <d v="2025-10-19T00:00:00"/>
    <d v="2025-10-20T00:00:00"/>
    <d v="2025-10-22T00:00:00"/>
    <d v="2025-10-27T00:00:00"/>
    <x v="0"/>
    <x v="0"/>
    <d v="2025-11-20T00:00:00"/>
    <n v="2"/>
    <n v="1"/>
    <n v="2"/>
    <n v="5"/>
  </r>
  <r>
    <s v="L1134"/>
    <x v="1"/>
    <x v="1"/>
    <d v="2025-10-25T00:00:00"/>
    <m/>
    <m/>
    <m/>
    <x v="1"/>
    <x v="2"/>
    <m/>
    <m/>
    <m/>
    <n v="0"/>
    <n v="0"/>
  </r>
  <r>
    <s v="L1135"/>
    <x v="2"/>
    <x v="0"/>
    <d v="2025-10-17T00:00:00"/>
    <d v="2025-10-20T00:00:00"/>
    <d v="2025-10-21T00:00:00"/>
    <d v="2025-10-26T00:00:00"/>
    <x v="0"/>
    <x v="0"/>
    <d v="2025-11-18T00:00:00"/>
    <n v="3"/>
    <n v="3"/>
    <n v="1"/>
    <n v="5"/>
  </r>
  <r>
    <s v="L1136"/>
    <x v="1"/>
    <x v="0"/>
    <d v="2025-10-20T00:00:00"/>
    <d v="2025-10-24T00:00:00"/>
    <d v="2025-10-29T00:00:00"/>
    <d v="2025-11-05T00:00:00"/>
    <x v="0"/>
    <x v="0"/>
    <d v="2025-11-20T00:00:00"/>
    <n v="0"/>
    <n v="4"/>
    <n v="5"/>
    <n v="7"/>
  </r>
  <r>
    <s v="L1137"/>
    <x v="2"/>
    <x v="0"/>
    <d v="2025-10-10T00:00:00"/>
    <d v="2025-10-11T00:00:00"/>
    <d v="2025-10-13T00:00:00"/>
    <d v="2025-10-18T00:00:00"/>
    <x v="1"/>
    <x v="5"/>
    <m/>
    <m/>
    <n v="1"/>
    <n v="2"/>
    <n v="5"/>
  </r>
  <r>
    <s v="L1138"/>
    <x v="0"/>
    <x v="1"/>
    <d v="2025-10-04T00:00:00"/>
    <m/>
    <m/>
    <m/>
    <x v="1"/>
    <x v="2"/>
    <m/>
    <m/>
    <m/>
    <n v="0"/>
    <n v="0"/>
  </r>
  <r>
    <s v="L1139"/>
    <x v="0"/>
    <x v="0"/>
    <d v="2025-10-27T00:00:00"/>
    <d v="2025-10-30T00:00:00"/>
    <d v="2025-11-01T00:00:00"/>
    <d v="2025-11-06T00:00:00"/>
    <x v="0"/>
    <x v="0"/>
    <d v="2025-11-29T00:00:00"/>
    <n v="5"/>
    <n v="3"/>
    <n v="2"/>
    <n v="5"/>
  </r>
  <r>
    <s v="L1140"/>
    <x v="0"/>
    <x v="0"/>
    <d v="2025-10-07T00:00:00"/>
    <d v="2025-10-12T00:00:00"/>
    <d v="2025-10-13T00:00:00"/>
    <d v="2025-10-16T00:00:00"/>
    <x v="0"/>
    <x v="0"/>
    <d v="2025-11-10T00:00:00"/>
    <n v="0"/>
    <n v="5"/>
    <n v="1"/>
    <n v="3"/>
  </r>
  <r>
    <s v="L1141"/>
    <x v="3"/>
    <x v="1"/>
    <d v="2025-10-10T00:00:00"/>
    <m/>
    <m/>
    <m/>
    <x v="1"/>
    <x v="1"/>
    <m/>
    <m/>
    <m/>
    <n v="0"/>
    <n v="0"/>
  </r>
  <r>
    <s v="L1142"/>
    <x v="1"/>
    <x v="2"/>
    <d v="2025-10-08T00:00:00"/>
    <d v="2025-10-12T00:00:00"/>
    <d v="2025-10-13T00:00:00"/>
    <d v="2025-10-15T00:00:00"/>
    <x v="0"/>
    <x v="0"/>
    <d v="2025-11-06T00:00:00"/>
    <n v="4"/>
    <n v="4"/>
    <n v="1"/>
    <n v="2"/>
  </r>
  <r>
    <s v="L1143"/>
    <x v="3"/>
    <x v="2"/>
    <d v="2025-10-12T00:00:00"/>
    <d v="2025-10-17T00:00:00"/>
    <d v="2025-10-21T00:00:00"/>
    <d v="2025-10-27T00:00:00"/>
    <x v="0"/>
    <x v="0"/>
    <d v="2025-11-17T00:00:00"/>
    <n v="1"/>
    <n v="5"/>
    <n v="4"/>
    <n v="6"/>
  </r>
  <r>
    <s v="L1144"/>
    <x v="0"/>
    <x v="2"/>
    <d v="2025-10-06T00:00:00"/>
    <d v="2025-10-09T00:00:00"/>
    <d v="2025-10-12T00:00:00"/>
    <d v="2025-10-14T00:00:00"/>
    <x v="0"/>
    <x v="0"/>
    <d v="2025-11-10T00:00:00"/>
    <n v="6"/>
    <n v="3"/>
    <n v="3"/>
    <n v="2"/>
  </r>
  <r>
    <s v="L1145"/>
    <x v="1"/>
    <x v="0"/>
    <d v="2025-10-10T00:00:00"/>
    <d v="2025-10-11T00:00:00"/>
    <d v="2025-10-15T00:00:00"/>
    <d v="2025-10-18T00:00:00"/>
    <x v="0"/>
    <x v="0"/>
    <d v="2025-11-09T00:00:00"/>
    <n v="1"/>
    <n v="1"/>
    <n v="4"/>
    <n v="3"/>
  </r>
  <r>
    <s v="L1146"/>
    <x v="0"/>
    <x v="2"/>
    <d v="2025-10-01T00:00:00"/>
    <d v="2025-10-03T00:00:00"/>
    <d v="2025-10-04T00:00:00"/>
    <d v="2025-10-08T00:00:00"/>
    <x v="0"/>
    <x v="0"/>
    <d v="2025-10-21T00:00:00"/>
    <n v="6"/>
    <n v="2"/>
    <n v="1"/>
    <n v="4"/>
  </r>
  <r>
    <s v="L1147"/>
    <x v="3"/>
    <x v="1"/>
    <d v="2025-10-23T00:00:00"/>
    <m/>
    <m/>
    <m/>
    <x v="1"/>
    <x v="3"/>
    <m/>
    <m/>
    <m/>
    <n v="0"/>
    <n v="0"/>
  </r>
  <r>
    <s v="L1148"/>
    <x v="3"/>
    <x v="2"/>
    <d v="2025-10-18T00:00:00"/>
    <d v="2025-10-22T00:00:00"/>
    <d v="2025-10-24T00:00:00"/>
    <d v="2025-10-26T00:00:00"/>
    <x v="0"/>
    <x v="0"/>
    <d v="2025-11-20T00:00:00"/>
    <n v="5"/>
    <n v="4"/>
    <n v="2"/>
    <n v="2"/>
  </r>
  <r>
    <s v="L1149"/>
    <x v="3"/>
    <x v="0"/>
    <d v="2025-10-05T00:00:00"/>
    <d v="2025-10-10T00:00:00"/>
    <d v="2025-10-11T00:00:00"/>
    <d v="2025-10-15T00:00:00"/>
    <x v="0"/>
    <x v="0"/>
    <d v="2025-11-12T00:00:00"/>
    <n v="4"/>
    <n v="5"/>
    <n v="1"/>
    <n v="4"/>
  </r>
  <r>
    <s v="L1150"/>
    <x v="0"/>
    <x v="2"/>
    <d v="2025-10-09T00:00:00"/>
    <d v="2025-10-10T00:00:00"/>
    <d v="2025-10-15T00:00:00"/>
    <d v="2025-10-18T00:00:00"/>
    <x v="0"/>
    <x v="0"/>
    <d v="2025-11-17T00:00:00"/>
    <n v="2"/>
    <n v="1"/>
    <n v="5"/>
    <n v="3"/>
  </r>
  <r>
    <s v="L1151"/>
    <x v="1"/>
    <x v="1"/>
    <d v="2025-10-02T00:00:00"/>
    <m/>
    <m/>
    <m/>
    <x v="1"/>
    <x v="1"/>
    <m/>
    <m/>
    <m/>
    <n v="0"/>
    <n v="0"/>
  </r>
  <r>
    <s v="L1152"/>
    <x v="1"/>
    <x v="1"/>
    <d v="2025-10-02T00:00:00"/>
    <m/>
    <m/>
    <m/>
    <x v="1"/>
    <x v="3"/>
    <m/>
    <m/>
    <m/>
    <n v="0"/>
    <n v="0"/>
  </r>
  <r>
    <s v="L1153"/>
    <x v="0"/>
    <x v="0"/>
    <d v="2025-10-18T00:00:00"/>
    <d v="2025-10-19T00:00:00"/>
    <d v="2025-10-21T00:00:00"/>
    <d v="2025-10-27T00:00:00"/>
    <x v="0"/>
    <x v="0"/>
    <d v="2025-11-13T00:00:00"/>
    <n v="7"/>
    <n v="1"/>
    <n v="2"/>
    <n v="6"/>
  </r>
  <r>
    <s v="L1154"/>
    <x v="1"/>
    <x v="1"/>
    <d v="2025-10-10T00:00:00"/>
    <m/>
    <m/>
    <m/>
    <x v="1"/>
    <x v="1"/>
    <m/>
    <m/>
    <m/>
    <n v="0"/>
    <n v="0"/>
  </r>
  <r>
    <s v="L1155"/>
    <x v="0"/>
    <x v="2"/>
    <d v="2025-10-23T00:00:00"/>
    <d v="2025-10-25T00:00:00"/>
    <d v="2025-10-29T00:00:00"/>
    <d v="2025-11-02T00:00:00"/>
    <x v="0"/>
    <x v="0"/>
    <d v="2025-11-17T00:00:00"/>
    <n v="4"/>
    <n v="2"/>
    <n v="4"/>
    <n v="4"/>
  </r>
  <r>
    <s v="L1156"/>
    <x v="1"/>
    <x v="1"/>
    <d v="2025-10-31T00:00:00"/>
    <m/>
    <m/>
    <m/>
    <x v="1"/>
    <x v="4"/>
    <m/>
    <m/>
    <m/>
    <n v="0"/>
    <n v="0"/>
  </r>
  <r>
    <s v="L1157"/>
    <x v="2"/>
    <x v="2"/>
    <d v="2025-10-05T00:00:00"/>
    <d v="2025-10-08T00:00:00"/>
    <d v="2025-10-12T00:00:00"/>
    <d v="2025-10-15T00:00:00"/>
    <x v="0"/>
    <x v="0"/>
    <d v="2025-11-08T00:00:00"/>
    <n v="8"/>
    <n v="3"/>
    <n v="4"/>
    <n v="3"/>
  </r>
  <r>
    <s v="L1158"/>
    <x v="2"/>
    <x v="1"/>
    <d v="2025-10-21T00:00:00"/>
    <m/>
    <m/>
    <m/>
    <x v="1"/>
    <x v="2"/>
    <m/>
    <m/>
    <m/>
    <n v="0"/>
    <n v="0"/>
  </r>
  <r>
    <s v="L1159"/>
    <x v="3"/>
    <x v="2"/>
    <d v="2025-10-28T00:00:00"/>
    <d v="2025-10-30T00:00:00"/>
    <d v="2025-11-03T00:00:00"/>
    <d v="2025-11-08T00:00:00"/>
    <x v="0"/>
    <x v="0"/>
    <d v="2025-11-20T00:00:00"/>
    <n v="5"/>
    <n v="2"/>
    <n v="4"/>
    <n v="5"/>
  </r>
  <r>
    <s v="L1160"/>
    <x v="2"/>
    <x v="0"/>
    <d v="2025-10-25T00:00:00"/>
    <d v="2025-10-27T00:00:00"/>
    <d v="2025-10-29T00:00:00"/>
    <d v="2025-11-04T00:00:00"/>
    <x v="0"/>
    <x v="0"/>
    <d v="2025-11-15T00:00:00"/>
    <n v="3"/>
    <n v="2"/>
    <n v="2"/>
    <n v="6"/>
  </r>
  <r>
    <s v="L1161"/>
    <x v="2"/>
    <x v="0"/>
    <d v="2025-10-16T00:00:00"/>
    <d v="2025-10-19T00:00:00"/>
    <d v="2025-10-22T00:00:00"/>
    <d v="2025-10-29T00:00:00"/>
    <x v="0"/>
    <x v="0"/>
    <d v="2025-11-17T00:00:00"/>
    <n v="2"/>
    <n v="3"/>
    <n v="3"/>
    <n v="7"/>
  </r>
  <r>
    <s v="L1162"/>
    <x v="2"/>
    <x v="2"/>
    <d v="2025-10-04T00:00:00"/>
    <d v="2025-10-07T00:00:00"/>
    <d v="2025-10-10T00:00:00"/>
    <d v="2025-10-15T00:00:00"/>
    <x v="0"/>
    <x v="0"/>
    <d v="2025-10-25T00:00:00"/>
    <n v="7"/>
    <n v="3"/>
    <n v="3"/>
    <n v="5"/>
  </r>
  <r>
    <s v="L1163"/>
    <x v="0"/>
    <x v="2"/>
    <d v="2025-10-28T00:00:00"/>
    <d v="2025-10-31T00:00:00"/>
    <d v="2025-11-03T00:00:00"/>
    <d v="2025-11-09T00:00:00"/>
    <x v="0"/>
    <x v="0"/>
    <d v="2025-11-29T00:00:00"/>
    <n v="5"/>
    <n v="3"/>
    <n v="3"/>
    <n v="6"/>
  </r>
  <r>
    <s v="L1164"/>
    <x v="2"/>
    <x v="2"/>
    <d v="2025-10-01T00:00:00"/>
    <d v="2025-10-02T00:00:00"/>
    <d v="2025-10-03T00:00:00"/>
    <d v="2025-10-09T00:00:00"/>
    <x v="0"/>
    <x v="0"/>
    <d v="2025-10-27T00:00:00"/>
    <n v="6"/>
    <n v="1"/>
    <n v="1"/>
    <n v="6"/>
  </r>
  <r>
    <s v="L1165"/>
    <x v="2"/>
    <x v="0"/>
    <d v="2025-10-19T00:00:00"/>
    <d v="2025-10-20T00:00:00"/>
    <d v="2025-10-21T00:00:00"/>
    <d v="2025-10-23T00:00:00"/>
    <x v="0"/>
    <x v="0"/>
    <d v="2025-11-05T00:00:00"/>
    <n v="2"/>
    <n v="1"/>
    <n v="1"/>
    <n v="2"/>
  </r>
  <r>
    <s v="L1166"/>
    <x v="3"/>
    <x v="0"/>
    <d v="2025-10-10T00:00:00"/>
    <d v="2025-10-14T00:00:00"/>
    <d v="2025-10-19T00:00:00"/>
    <d v="2025-10-25T00:00:00"/>
    <x v="1"/>
    <x v="3"/>
    <m/>
    <m/>
    <n v="4"/>
    <n v="5"/>
    <n v="6"/>
  </r>
  <r>
    <s v="L1167"/>
    <x v="2"/>
    <x v="2"/>
    <d v="2025-10-16T00:00:00"/>
    <d v="2025-10-20T00:00:00"/>
    <d v="2025-10-22T00:00:00"/>
    <d v="2025-10-24T00:00:00"/>
    <x v="1"/>
    <x v="5"/>
    <m/>
    <m/>
    <n v="4"/>
    <n v="2"/>
    <n v="2"/>
  </r>
  <r>
    <s v="L1168"/>
    <x v="2"/>
    <x v="0"/>
    <d v="2025-10-16T00:00:00"/>
    <d v="2025-10-18T00:00:00"/>
    <d v="2025-10-23T00:00:00"/>
    <d v="2025-10-27T00:00:00"/>
    <x v="0"/>
    <x v="0"/>
    <d v="2025-11-08T00:00:00"/>
    <n v="5"/>
    <n v="2"/>
    <n v="5"/>
    <n v="4"/>
  </r>
  <r>
    <s v="L1169"/>
    <x v="1"/>
    <x v="2"/>
    <d v="2025-10-15T00:00:00"/>
    <d v="2025-10-17T00:00:00"/>
    <d v="2025-10-18T00:00:00"/>
    <d v="2025-10-24T00:00:00"/>
    <x v="0"/>
    <x v="0"/>
    <d v="2025-11-13T00:00:00"/>
    <n v="2"/>
    <n v="2"/>
    <n v="1"/>
    <n v="6"/>
  </r>
  <r>
    <s v="L1170"/>
    <x v="3"/>
    <x v="1"/>
    <d v="2025-10-11T00:00:00"/>
    <m/>
    <m/>
    <m/>
    <x v="1"/>
    <x v="2"/>
    <m/>
    <m/>
    <m/>
    <n v="0"/>
    <n v="0"/>
  </r>
  <r>
    <s v="L1171"/>
    <x v="3"/>
    <x v="2"/>
    <d v="2025-10-06T00:00:00"/>
    <d v="2025-10-10T00:00:00"/>
    <d v="2025-10-12T00:00:00"/>
    <d v="2025-10-16T00:00:00"/>
    <x v="0"/>
    <x v="0"/>
    <d v="2025-10-31T00:00:00"/>
    <n v="1"/>
    <n v="4"/>
    <n v="2"/>
    <n v="4"/>
  </r>
  <r>
    <s v="L1172"/>
    <x v="3"/>
    <x v="2"/>
    <d v="2025-10-31T00:00:00"/>
    <d v="2025-11-05T00:00:00"/>
    <d v="2025-11-09T00:00:00"/>
    <d v="2025-11-15T00:00:00"/>
    <x v="0"/>
    <x v="0"/>
    <d v="2025-12-07T00:00:00"/>
    <n v="8"/>
    <n v="5"/>
    <n v="4"/>
    <n v="6"/>
  </r>
  <r>
    <s v="L1173"/>
    <x v="3"/>
    <x v="2"/>
    <d v="2025-10-02T00:00:00"/>
    <d v="2025-10-04T00:00:00"/>
    <d v="2025-10-06T00:00:00"/>
    <d v="2025-10-08T00:00:00"/>
    <x v="0"/>
    <x v="0"/>
    <d v="2025-10-23T00:00:00"/>
    <n v="6"/>
    <n v="2"/>
    <n v="2"/>
    <n v="2"/>
  </r>
  <r>
    <s v="L1174"/>
    <x v="3"/>
    <x v="0"/>
    <d v="2025-10-09T00:00:00"/>
    <d v="2025-10-14T00:00:00"/>
    <d v="2025-10-15T00:00:00"/>
    <d v="2025-10-22T00:00:00"/>
    <x v="0"/>
    <x v="0"/>
    <d v="2025-11-03T00:00:00"/>
    <n v="6"/>
    <n v="5"/>
    <n v="1"/>
    <n v="7"/>
  </r>
  <r>
    <s v="L1175"/>
    <x v="3"/>
    <x v="1"/>
    <d v="2025-10-31T00:00:00"/>
    <m/>
    <m/>
    <m/>
    <x v="1"/>
    <x v="5"/>
    <m/>
    <m/>
    <m/>
    <n v="0"/>
    <n v="0"/>
  </r>
  <r>
    <s v="L1176"/>
    <x v="0"/>
    <x v="0"/>
    <d v="2025-10-28T00:00:00"/>
    <d v="2025-11-02T00:00:00"/>
    <d v="2025-11-06T00:00:00"/>
    <d v="2025-11-11T00:00:00"/>
    <x v="0"/>
    <x v="0"/>
    <d v="2025-12-08T00:00:00"/>
    <n v="3"/>
    <n v="5"/>
    <n v="4"/>
    <n v="5"/>
  </r>
  <r>
    <s v="L1177"/>
    <x v="2"/>
    <x v="2"/>
    <d v="2025-10-16T00:00:00"/>
    <d v="2025-10-19T00:00:00"/>
    <d v="2025-10-23T00:00:00"/>
    <d v="2025-10-29T00:00:00"/>
    <x v="0"/>
    <x v="0"/>
    <d v="2025-11-10T00:00:00"/>
    <n v="5"/>
    <n v="3"/>
    <n v="4"/>
    <n v="6"/>
  </r>
  <r>
    <s v="L1178"/>
    <x v="3"/>
    <x v="0"/>
    <d v="2025-10-04T00:00:00"/>
    <d v="2025-10-05T00:00:00"/>
    <d v="2025-10-07T00:00:00"/>
    <d v="2025-10-10T00:00:00"/>
    <x v="0"/>
    <x v="0"/>
    <d v="2025-10-30T00:00:00"/>
    <n v="9"/>
    <n v="1"/>
    <n v="2"/>
    <n v="3"/>
  </r>
  <r>
    <s v="L1179"/>
    <x v="2"/>
    <x v="0"/>
    <d v="2025-10-27T00:00:00"/>
    <d v="2025-10-31T00:00:00"/>
    <d v="2025-11-03T00:00:00"/>
    <d v="2025-11-08T00:00:00"/>
    <x v="0"/>
    <x v="0"/>
    <d v="2025-12-07T00:00:00"/>
    <n v="4"/>
    <n v="4"/>
    <n v="3"/>
    <n v="5"/>
  </r>
  <r>
    <s v="L1180"/>
    <x v="2"/>
    <x v="2"/>
    <d v="2025-10-03T00:00:00"/>
    <d v="2025-10-04T00:00:00"/>
    <d v="2025-10-05T00:00:00"/>
    <d v="2025-10-07T00:00:00"/>
    <x v="0"/>
    <x v="0"/>
    <d v="2025-11-05T00:00:00"/>
    <n v="1"/>
    <n v="1"/>
    <n v="1"/>
    <n v="2"/>
  </r>
  <r>
    <s v="L1181"/>
    <x v="0"/>
    <x v="0"/>
    <d v="2025-10-13T00:00:00"/>
    <d v="2025-10-17T00:00:00"/>
    <d v="2025-10-18T00:00:00"/>
    <d v="2025-10-25T00:00:00"/>
    <x v="0"/>
    <x v="0"/>
    <d v="2025-11-19T00:00:00"/>
    <n v="4"/>
    <n v="4"/>
    <n v="1"/>
    <n v="7"/>
  </r>
  <r>
    <s v="L1182"/>
    <x v="3"/>
    <x v="1"/>
    <d v="2025-10-16T00:00:00"/>
    <m/>
    <m/>
    <m/>
    <x v="1"/>
    <x v="2"/>
    <m/>
    <m/>
    <m/>
    <n v="0"/>
    <n v="0"/>
  </r>
  <r>
    <s v="L1183"/>
    <x v="1"/>
    <x v="2"/>
    <d v="2025-10-03T00:00:00"/>
    <d v="2025-10-04T00:00:00"/>
    <d v="2025-10-07T00:00:00"/>
    <d v="2025-10-14T00:00:00"/>
    <x v="0"/>
    <x v="0"/>
    <d v="2025-10-24T00:00:00"/>
    <n v="6"/>
    <n v="1"/>
    <n v="3"/>
    <n v="7"/>
  </r>
  <r>
    <s v="L1184"/>
    <x v="0"/>
    <x v="0"/>
    <d v="2025-10-19T00:00:00"/>
    <d v="2025-10-23T00:00:00"/>
    <d v="2025-10-28T00:00:00"/>
    <d v="2025-10-31T00:00:00"/>
    <x v="0"/>
    <x v="0"/>
    <d v="2025-11-23T00:00:00"/>
    <n v="3"/>
    <n v="4"/>
    <n v="5"/>
    <n v="3"/>
  </r>
  <r>
    <s v="L1185"/>
    <x v="1"/>
    <x v="0"/>
    <d v="2025-10-21T00:00:00"/>
    <d v="2025-10-22T00:00:00"/>
    <d v="2025-10-27T00:00:00"/>
    <d v="2025-10-31T00:00:00"/>
    <x v="0"/>
    <x v="0"/>
    <d v="2025-11-30T00:00:00"/>
    <n v="2"/>
    <n v="1"/>
    <n v="5"/>
    <n v="4"/>
  </r>
  <r>
    <s v="L1186"/>
    <x v="2"/>
    <x v="0"/>
    <d v="2025-10-22T00:00:00"/>
    <d v="2025-10-25T00:00:00"/>
    <d v="2025-10-26T00:00:00"/>
    <d v="2025-10-28T00:00:00"/>
    <x v="0"/>
    <x v="0"/>
    <d v="2025-11-12T00:00:00"/>
    <n v="3"/>
    <n v="3"/>
    <n v="1"/>
    <n v="2"/>
  </r>
  <r>
    <s v="L1187"/>
    <x v="2"/>
    <x v="2"/>
    <d v="2025-10-02T00:00:00"/>
    <d v="2025-10-07T00:00:00"/>
    <d v="2025-10-10T00:00:00"/>
    <d v="2025-10-15T00:00:00"/>
    <x v="0"/>
    <x v="0"/>
    <d v="2025-11-13T00:00:00"/>
    <n v="7"/>
    <n v="5"/>
    <n v="3"/>
    <n v="5"/>
  </r>
  <r>
    <s v="L1188"/>
    <x v="0"/>
    <x v="2"/>
    <d v="2025-10-05T00:00:00"/>
    <d v="2025-10-09T00:00:00"/>
    <d v="2025-10-12T00:00:00"/>
    <d v="2025-10-16T00:00:00"/>
    <x v="0"/>
    <x v="0"/>
    <d v="2025-11-08T00:00:00"/>
    <n v="9"/>
    <n v="4"/>
    <n v="3"/>
    <n v="4"/>
  </r>
  <r>
    <s v="L1189"/>
    <x v="0"/>
    <x v="1"/>
    <d v="2025-10-05T00:00:00"/>
    <m/>
    <m/>
    <m/>
    <x v="1"/>
    <x v="2"/>
    <m/>
    <m/>
    <m/>
    <n v="0"/>
    <n v="0"/>
  </r>
  <r>
    <s v="L1190"/>
    <x v="1"/>
    <x v="1"/>
    <d v="2025-10-26T00:00:00"/>
    <m/>
    <m/>
    <m/>
    <x v="1"/>
    <x v="1"/>
    <m/>
    <m/>
    <m/>
    <n v="0"/>
    <n v="0"/>
  </r>
  <r>
    <s v="L1191"/>
    <x v="3"/>
    <x v="0"/>
    <d v="2025-10-19T00:00:00"/>
    <d v="2025-10-24T00:00:00"/>
    <d v="2025-10-28T00:00:00"/>
    <d v="2025-11-01T00:00:00"/>
    <x v="0"/>
    <x v="0"/>
    <d v="2025-11-16T00:00:00"/>
    <n v="10"/>
    <n v="5"/>
    <n v="4"/>
    <n v="4"/>
  </r>
  <r>
    <s v="L1192"/>
    <x v="1"/>
    <x v="0"/>
    <d v="2025-10-31T00:00:00"/>
    <d v="2025-11-04T00:00:00"/>
    <d v="2025-11-09T00:00:00"/>
    <d v="2025-11-11T00:00:00"/>
    <x v="1"/>
    <x v="3"/>
    <m/>
    <m/>
    <n v="4"/>
    <n v="5"/>
    <n v="2"/>
  </r>
  <r>
    <s v="L1193"/>
    <x v="0"/>
    <x v="0"/>
    <d v="2025-10-10T00:00:00"/>
    <d v="2025-10-14T00:00:00"/>
    <d v="2025-10-19T00:00:00"/>
    <d v="2025-10-24T00:00:00"/>
    <x v="0"/>
    <x v="0"/>
    <d v="2025-11-04T00:00:00"/>
    <n v="5"/>
    <n v="4"/>
    <n v="5"/>
    <n v="5"/>
  </r>
  <r>
    <s v="L1194"/>
    <x v="1"/>
    <x v="0"/>
    <d v="2025-10-03T00:00:00"/>
    <d v="2025-10-06T00:00:00"/>
    <d v="2025-10-10T00:00:00"/>
    <d v="2025-10-12T00:00:00"/>
    <x v="0"/>
    <x v="0"/>
    <d v="2025-10-25T00:00:00"/>
    <n v="3"/>
    <n v="3"/>
    <n v="4"/>
    <n v="2"/>
  </r>
  <r>
    <s v="L1195"/>
    <x v="0"/>
    <x v="0"/>
    <d v="2025-10-08T00:00:00"/>
    <d v="2025-10-09T00:00:00"/>
    <d v="2025-10-11T00:00:00"/>
    <d v="2025-10-14T00:00:00"/>
    <x v="0"/>
    <x v="0"/>
    <d v="2025-11-03T00:00:00"/>
    <n v="9"/>
    <n v="1"/>
    <n v="2"/>
    <n v="3"/>
  </r>
  <r>
    <s v="L1196"/>
    <x v="1"/>
    <x v="2"/>
    <d v="2025-10-04T00:00:00"/>
    <d v="2025-10-08T00:00:00"/>
    <d v="2025-10-13T00:00:00"/>
    <d v="2025-10-16T00:00:00"/>
    <x v="0"/>
    <x v="0"/>
    <d v="2025-11-01T00:00:00"/>
    <n v="10"/>
    <n v="4"/>
    <n v="5"/>
    <n v="3"/>
  </r>
  <r>
    <s v="L1197"/>
    <x v="0"/>
    <x v="1"/>
    <d v="2025-10-18T00:00:00"/>
    <m/>
    <m/>
    <m/>
    <x v="1"/>
    <x v="3"/>
    <m/>
    <m/>
    <m/>
    <n v="0"/>
    <n v="0"/>
  </r>
  <r>
    <s v="L1198"/>
    <x v="0"/>
    <x v="0"/>
    <d v="2025-10-25T00:00:00"/>
    <d v="2025-10-26T00:00:00"/>
    <d v="2025-10-30T00:00:00"/>
    <d v="2025-11-06T00:00:00"/>
    <x v="0"/>
    <x v="0"/>
    <d v="2025-11-22T00:00:00"/>
    <n v="8"/>
    <n v="1"/>
    <n v="4"/>
    <n v="7"/>
  </r>
  <r>
    <s v="L1199"/>
    <x v="0"/>
    <x v="1"/>
    <d v="2025-10-14T00:00:00"/>
    <m/>
    <m/>
    <m/>
    <x v="1"/>
    <x v="2"/>
    <m/>
    <m/>
    <m/>
    <n v="0"/>
    <n v="0"/>
  </r>
  <r>
    <s v="L1200"/>
    <x v="3"/>
    <x v="2"/>
    <d v="2025-10-20T00:00:00"/>
    <d v="2025-10-23T00:00:00"/>
    <d v="2025-10-26T00:00:00"/>
    <d v="2025-11-01T00:00:00"/>
    <x v="0"/>
    <x v="0"/>
    <d v="2025-11-24T00:00:00"/>
    <n v="6"/>
    <n v="3"/>
    <n v="3"/>
    <n v="6"/>
  </r>
  <r>
    <s v="L1201"/>
    <x v="1"/>
    <x v="2"/>
    <d v="2025-10-20T00:00:00"/>
    <d v="2025-10-22T00:00:00"/>
    <d v="2025-10-24T00:00:00"/>
    <d v="2025-10-31T00:00:00"/>
    <x v="0"/>
    <x v="0"/>
    <d v="2025-11-27T00:00:00"/>
    <n v="2"/>
    <n v="2"/>
    <n v="2"/>
    <n v="7"/>
  </r>
  <r>
    <s v="L1202"/>
    <x v="1"/>
    <x v="2"/>
    <d v="2025-10-26T00:00:00"/>
    <d v="2025-10-31T00:00:00"/>
    <d v="2025-11-01T00:00:00"/>
    <d v="2025-11-05T00:00:00"/>
    <x v="0"/>
    <x v="0"/>
    <d v="2025-12-02T00:00:00"/>
    <n v="2"/>
    <n v="5"/>
    <n v="1"/>
    <n v="4"/>
  </r>
  <r>
    <s v="L1203"/>
    <x v="1"/>
    <x v="0"/>
    <d v="2025-10-20T00:00:00"/>
    <d v="2025-10-24T00:00:00"/>
    <d v="2025-10-27T00:00:00"/>
    <d v="2025-11-03T00:00:00"/>
    <x v="0"/>
    <x v="0"/>
    <d v="2025-11-21T00:00:00"/>
    <n v="9"/>
    <n v="4"/>
    <n v="3"/>
    <n v="7"/>
  </r>
  <r>
    <s v="L1204"/>
    <x v="0"/>
    <x v="1"/>
    <d v="2025-10-08T00:00:00"/>
    <m/>
    <m/>
    <m/>
    <x v="1"/>
    <x v="4"/>
    <m/>
    <m/>
    <m/>
    <n v="0"/>
    <n v="0"/>
  </r>
  <r>
    <s v="L1205"/>
    <x v="1"/>
    <x v="2"/>
    <d v="2025-10-25T00:00:00"/>
    <d v="2025-10-28T00:00:00"/>
    <d v="2025-10-30T00:00:00"/>
    <d v="2025-11-05T00:00:00"/>
    <x v="0"/>
    <x v="0"/>
    <d v="2025-11-24T00:00:00"/>
    <n v="2"/>
    <n v="3"/>
    <n v="2"/>
    <n v="6"/>
  </r>
  <r>
    <s v="L1206"/>
    <x v="1"/>
    <x v="1"/>
    <d v="2025-10-17T00:00:00"/>
    <m/>
    <m/>
    <m/>
    <x v="1"/>
    <x v="4"/>
    <m/>
    <m/>
    <m/>
    <n v="0"/>
    <n v="0"/>
  </r>
  <r>
    <s v="L1207"/>
    <x v="0"/>
    <x v="0"/>
    <d v="2025-10-13T00:00:00"/>
    <d v="2025-10-14T00:00:00"/>
    <d v="2025-10-18T00:00:00"/>
    <d v="2025-10-25T00:00:00"/>
    <x v="0"/>
    <x v="0"/>
    <d v="2025-11-13T00:00:00"/>
    <n v="7"/>
    <n v="1"/>
    <n v="4"/>
    <n v="7"/>
  </r>
  <r>
    <s v="L1208"/>
    <x v="2"/>
    <x v="1"/>
    <d v="2025-10-15T00:00:00"/>
    <m/>
    <m/>
    <m/>
    <x v="1"/>
    <x v="5"/>
    <m/>
    <m/>
    <m/>
    <n v="0"/>
    <n v="0"/>
  </r>
  <r>
    <s v="L1209"/>
    <x v="0"/>
    <x v="2"/>
    <d v="2025-10-30T00:00:00"/>
    <d v="2025-11-03T00:00:00"/>
    <d v="2025-11-06T00:00:00"/>
    <d v="2025-11-11T00:00:00"/>
    <x v="0"/>
    <x v="0"/>
    <d v="2025-11-28T00:00:00"/>
    <n v="9"/>
    <n v="4"/>
    <n v="3"/>
    <n v="5"/>
  </r>
  <r>
    <s v="L1210"/>
    <x v="1"/>
    <x v="1"/>
    <d v="2025-10-15T00:00:00"/>
    <m/>
    <m/>
    <m/>
    <x v="1"/>
    <x v="5"/>
    <m/>
    <m/>
    <m/>
    <n v="0"/>
    <n v="0"/>
  </r>
  <r>
    <s v="L1211"/>
    <x v="0"/>
    <x v="0"/>
    <d v="2025-10-10T00:00:00"/>
    <d v="2025-10-11T00:00:00"/>
    <d v="2025-10-13T00:00:00"/>
    <d v="2025-10-16T00:00:00"/>
    <x v="1"/>
    <x v="1"/>
    <m/>
    <m/>
    <n v="1"/>
    <n v="2"/>
    <n v="3"/>
  </r>
  <r>
    <s v="L1212"/>
    <x v="2"/>
    <x v="2"/>
    <d v="2025-10-28T00:00:00"/>
    <d v="2025-10-30T00:00:00"/>
    <d v="2025-10-31T00:00:00"/>
    <d v="2025-11-06T00:00:00"/>
    <x v="0"/>
    <x v="0"/>
    <d v="2025-11-19T00:00:00"/>
    <n v="4"/>
    <n v="2"/>
    <n v="1"/>
    <n v="6"/>
  </r>
  <r>
    <s v="L1213"/>
    <x v="0"/>
    <x v="2"/>
    <d v="2025-10-19T00:00:00"/>
    <d v="2025-10-23T00:00:00"/>
    <d v="2025-10-26T00:00:00"/>
    <d v="2025-10-29T00:00:00"/>
    <x v="0"/>
    <x v="0"/>
    <d v="2025-11-09T00:00:00"/>
    <n v="2"/>
    <n v="4"/>
    <n v="3"/>
    <n v="3"/>
  </r>
  <r>
    <s v="L1214"/>
    <x v="1"/>
    <x v="1"/>
    <d v="2025-10-14T00:00:00"/>
    <m/>
    <m/>
    <m/>
    <x v="1"/>
    <x v="2"/>
    <m/>
    <m/>
    <m/>
    <n v="0"/>
    <n v="0"/>
  </r>
  <r>
    <s v="L1215"/>
    <x v="2"/>
    <x v="1"/>
    <d v="2025-10-10T00:00:00"/>
    <m/>
    <m/>
    <m/>
    <x v="1"/>
    <x v="5"/>
    <m/>
    <m/>
    <m/>
    <n v="0"/>
    <n v="0"/>
  </r>
  <r>
    <s v="L1216"/>
    <x v="3"/>
    <x v="2"/>
    <d v="2025-10-19T00:00:00"/>
    <d v="2025-10-24T00:00:00"/>
    <d v="2025-10-27T00:00:00"/>
    <d v="2025-10-30T00:00:00"/>
    <x v="0"/>
    <x v="0"/>
    <d v="2025-11-21T00:00:00"/>
    <n v="0"/>
    <n v="5"/>
    <n v="3"/>
    <n v="3"/>
  </r>
  <r>
    <s v="L1217"/>
    <x v="1"/>
    <x v="0"/>
    <d v="2025-10-20T00:00:00"/>
    <d v="2025-10-24T00:00:00"/>
    <d v="2025-10-29T00:00:00"/>
    <d v="2025-11-01T00:00:00"/>
    <x v="1"/>
    <x v="5"/>
    <m/>
    <m/>
    <n v="4"/>
    <n v="5"/>
    <n v="3"/>
  </r>
  <r>
    <s v="L1218"/>
    <x v="2"/>
    <x v="1"/>
    <d v="2025-10-02T00:00:00"/>
    <m/>
    <m/>
    <m/>
    <x v="1"/>
    <x v="2"/>
    <m/>
    <m/>
    <m/>
    <n v="0"/>
    <n v="0"/>
  </r>
  <r>
    <s v="L1219"/>
    <x v="2"/>
    <x v="1"/>
    <d v="2025-10-20T00:00:00"/>
    <m/>
    <m/>
    <m/>
    <x v="1"/>
    <x v="1"/>
    <m/>
    <m/>
    <m/>
    <n v="0"/>
    <n v="0"/>
  </r>
  <r>
    <s v="L1220"/>
    <x v="3"/>
    <x v="1"/>
    <d v="2025-10-31T00:00:00"/>
    <m/>
    <m/>
    <m/>
    <x v="1"/>
    <x v="5"/>
    <m/>
    <m/>
    <m/>
    <n v="0"/>
    <n v="0"/>
  </r>
  <r>
    <s v="L1221"/>
    <x v="0"/>
    <x v="0"/>
    <d v="2025-10-24T00:00:00"/>
    <d v="2025-10-29T00:00:00"/>
    <d v="2025-10-31T00:00:00"/>
    <d v="2025-11-02T00:00:00"/>
    <x v="0"/>
    <x v="0"/>
    <d v="2025-11-30T00:00:00"/>
    <n v="3"/>
    <n v="5"/>
    <n v="2"/>
    <n v="2"/>
  </r>
  <r>
    <s v="L1222"/>
    <x v="0"/>
    <x v="0"/>
    <d v="2025-10-04T00:00:00"/>
    <d v="2025-10-05T00:00:00"/>
    <d v="2025-10-07T00:00:00"/>
    <d v="2025-10-13T00:00:00"/>
    <x v="0"/>
    <x v="0"/>
    <d v="2025-11-09T00:00:00"/>
    <n v="1"/>
    <n v="1"/>
    <n v="2"/>
    <n v="6"/>
  </r>
  <r>
    <s v="L1223"/>
    <x v="1"/>
    <x v="0"/>
    <d v="2025-10-31T00:00:00"/>
    <d v="2025-11-04T00:00:00"/>
    <d v="2025-11-09T00:00:00"/>
    <d v="2025-11-13T00:00:00"/>
    <x v="0"/>
    <x v="0"/>
    <d v="2025-12-08T00:00:00"/>
    <n v="7"/>
    <n v="4"/>
    <n v="5"/>
    <n v="4"/>
  </r>
  <r>
    <s v="L1224"/>
    <x v="3"/>
    <x v="0"/>
    <d v="2025-10-25T00:00:00"/>
    <d v="2025-10-28T00:00:00"/>
    <d v="2025-11-01T00:00:00"/>
    <d v="2025-11-07T00:00:00"/>
    <x v="0"/>
    <x v="0"/>
    <d v="2025-11-21T00:00:00"/>
    <n v="3"/>
    <n v="3"/>
    <n v="4"/>
    <n v="6"/>
  </r>
  <r>
    <s v="L1225"/>
    <x v="0"/>
    <x v="0"/>
    <d v="2025-10-07T00:00:00"/>
    <d v="2025-10-10T00:00:00"/>
    <d v="2025-10-14T00:00:00"/>
    <d v="2025-10-18T00:00:00"/>
    <x v="1"/>
    <x v="1"/>
    <m/>
    <m/>
    <n v="3"/>
    <n v="4"/>
    <n v="4"/>
  </r>
  <r>
    <s v="L1226"/>
    <x v="3"/>
    <x v="0"/>
    <d v="2025-10-21T00:00:00"/>
    <d v="2025-10-23T00:00:00"/>
    <d v="2025-10-28T00:00:00"/>
    <d v="2025-11-03T00:00:00"/>
    <x v="1"/>
    <x v="3"/>
    <m/>
    <m/>
    <n v="2"/>
    <n v="5"/>
    <n v="6"/>
  </r>
  <r>
    <s v="L1227"/>
    <x v="0"/>
    <x v="2"/>
    <d v="2025-10-07T00:00:00"/>
    <d v="2025-10-10T00:00:00"/>
    <d v="2025-10-13T00:00:00"/>
    <d v="2025-10-19T00:00:00"/>
    <x v="0"/>
    <x v="0"/>
    <d v="2025-10-30T00:00:00"/>
    <n v="4"/>
    <n v="3"/>
    <n v="3"/>
    <n v="6"/>
  </r>
  <r>
    <s v="L1228"/>
    <x v="2"/>
    <x v="1"/>
    <d v="2025-10-09T00:00:00"/>
    <m/>
    <m/>
    <m/>
    <x v="1"/>
    <x v="1"/>
    <m/>
    <m/>
    <m/>
    <n v="0"/>
    <n v="0"/>
  </r>
  <r>
    <s v="L1229"/>
    <x v="0"/>
    <x v="0"/>
    <d v="2025-10-22T00:00:00"/>
    <d v="2025-10-24T00:00:00"/>
    <d v="2025-10-25T00:00:00"/>
    <d v="2025-10-28T00:00:00"/>
    <x v="0"/>
    <x v="0"/>
    <d v="2025-11-18T00:00:00"/>
    <n v="2"/>
    <n v="2"/>
    <n v="1"/>
    <n v="3"/>
  </r>
  <r>
    <s v="L1230"/>
    <x v="3"/>
    <x v="0"/>
    <d v="2025-10-03T00:00:00"/>
    <d v="2025-10-04T00:00:00"/>
    <d v="2025-10-08T00:00:00"/>
    <d v="2025-10-12T00:00:00"/>
    <x v="0"/>
    <x v="0"/>
    <d v="2025-10-22T00:00:00"/>
    <n v="2"/>
    <n v="1"/>
    <n v="4"/>
    <n v="4"/>
  </r>
  <r>
    <s v="L1231"/>
    <x v="2"/>
    <x v="0"/>
    <d v="2025-10-06T00:00:00"/>
    <d v="2025-10-11T00:00:00"/>
    <d v="2025-10-12T00:00:00"/>
    <d v="2025-10-19T00:00:00"/>
    <x v="0"/>
    <x v="0"/>
    <d v="2025-11-11T00:00:00"/>
    <n v="8"/>
    <n v="5"/>
    <n v="1"/>
    <n v="7"/>
  </r>
  <r>
    <s v="L1232"/>
    <x v="2"/>
    <x v="0"/>
    <d v="2025-10-08T00:00:00"/>
    <d v="2025-10-09T00:00:00"/>
    <d v="2025-10-11T00:00:00"/>
    <d v="2025-10-15T00:00:00"/>
    <x v="1"/>
    <x v="4"/>
    <m/>
    <m/>
    <n v="1"/>
    <n v="2"/>
    <n v="4"/>
  </r>
  <r>
    <s v="L1233"/>
    <x v="2"/>
    <x v="2"/>
    <d v="2025-10-06T00:00:00"/>
    <d v="2025-10-11T00:00:00"/>
    <d v="2025-10-13T00:00:00"/>
    <d v="2025-10-17T00:00:00"/>
    <x v="0"/>
    <x v="0"/>
    <d v="2025-10-29T00:00:00"/>
    <n v="9"/>
    <n v="5"/>
    <n v="2"/>
    <n v="4"/>
  </r>
  <r>
    <s v="L1234"/>
    <x v="3"/>
    <x v="2"/>
    <d v="2025-10-18T00:00:00"/>
    <d v="2025-10-23T00:00:00"/>
    <d v="2025-10-27T00:00:00"/>
    <d v="2025-11-02T00:00:00"/>
    <x v="0"/>
    <x v="0"/>
    <d v="2025-11-21T00:00:00"/>
    <n v="4"/>
    <n v="5"/>
    <n v="4"/>
    <n v="6"/>
  </r>
  <r>
    <s v="L1235"/>
    <x v="1"/>
    <x v="2"/>
    <d v="2025-10-03T00:00:00"/>
    <d v="2025-10-05T00:00:00"/>
    <d v="2025-10-08T00:00:00"/>
    <d v="2025-10-12T00:00:00"/>
    <x v="0"/>
    <x v="0"/>
    <d v="2025-11-11T00:00:00"/>
    <n v="7"/>
    <n v="2"/>
    <n v="3"/>
    <n v="4"/>
  </r>
  <r>
    <s v="L1236"/>
    <x v="1"/>
    <x v="2"/>
    <d v="2025-10-06T00:00:00"/>
    <d v="2025-10-09T00:00:00"/>
    <d v="2025-10-11T00:00:00"/>
    <d v="2025-10-17T00:00:00"/>
    <x v="0"/>
    <x v="0"/>
    <d v="2025-11-15T00:00:00"/>
    <n v="7"/>
    <n v="3"/>
    <n v="2"/>
    <n v="6"/>
  </r>
  <r>
    <s v="L1237"/>
    <x v="1"/>
    <x v="0"/>
    <d v="2025-10-01T00:00:00"/>
    <d v="2025-10-04T00:00:00"/>
    <d v="2025-10-05T00:00:00"/>
    <d v="2025-10-12T00:00:00"/>
    <x v="0"/>
    <x v="0"/>
    <d v="2025-11-06T00:00:00"/>
    <n v="0"/>
    <n v="3"/>
    <n v="1"/>
    <n v="7"/>
  </r>
  <r>
    <s v="L1238"/>
    <x v="3"/>
    <x v="0"/>
    <d v="2025-10-14T00:00:00"/>
    <d v="2025-10-16T00:00:00"/>
    <d v="2025-10-19T00:00:00"/>
    <d v="2025-10-21T00:00:00"/>
    <x v="0"/>
    <x v="0"/>
    <d v="2025-11-06T00:00:00"/>
    <n v="1"/>
    <n v="2"/>
    <n v="3"/>
    <n v="2"/>
  </r>
  <r>
    <s v="L1239"/>
    <x v="2"/>
    <x v="2"/>
    <d v="2025-10-15T00:00:00"/>
    <d v="2025-10-17T00:00:00"/>
    <d v="2025-10-21T00:00:00"/>
    <d v="2025-10-24T00:00:00"/>
    <x v="1"/>
    <x v="4"/>
    <m/>
    <m/>
    <n v="2"/>
    <n v="4"/>
    <n v="3"/>
  </r>
  <r>
    <s v="L1240"/>
    <x v="1"/>
    <x v="0"/>
    <d v="2025-10-23T00:00:00"/>
    <d v="2025-10-24T00:00:00"/>
    <d v="2025-10-26T00:00:00"/>
    <d v="2025-10-31T00:00:00"/>
    <x v="0"/>
    <x v="0"/>
    <d v="2025-11-13T00:00:00"/>
    <n v="9"/>
    <n v="1"/>
    <n v="2"/>
    <n v="5"/>
  </r>
  <r>
    <s v="L1241"/>
    <x v="3"/>
    <x v="2"/>
    <d v="2025-10-20T00:00:00"/>
    <d v="2025-10-22T00:00:00"/>
    <d v="2025-10-26T00:00:00"/>
    <d v="2025-10-28T00:00:00"/>
    <x v="0"/>
    <x v="0"/>
    <d v="2025-11-07T00:00:00"/>
    <n v="1"/>
    <n v="2"/>
    <n v="4"/>
    <n v="2"/>
  </r>
  <r>
    <s v="L1242"/>
    <x v="1"/>
    <x v="1"/>
    <d v="2025-10-16T00:00:00"/>
    <m/>
    <m/>
    <m/>
    <x v="1"/>
    <x v="1"/>
    <m/>
    <m/>
    <m/>
    <n v="0"/>
    <n v="0"/>
  </r>
  <r>
    <s v="L1243"/>
    <x v="0"/>
    <x v="1"/>
    <d v="2025-10-10T00:00:00"/>
    <m/>
    <m/>
    <m/>
    <x v="1"/>
    <x v="4"/>
    <m/>
    <m/>
    <m/>
    <n v="0"/>
    <n v="0"/>
  </r>
  <r>
    <s v="L1244"/>
    <x v="1"/>
    <x v="2"/>
    <d v="2025-10-02T00:00:00"/>
    <d v="2025-10-05T00:00:00"/>
    <d v="2025-10-08T00:00:00"/>
    <d v="2025-10-12T00:00:00"/>
    <x v="0"/>
    <x v="0"/>
    <d v="2025-10-28T00:00:00"/>
    <n v="6"/>
    <n v="3"/>
    <n v="3"/>
    <n v="4"/>
  </r>
  <r>
    <s v="L1245"/>
    <x v="1"/>
    <x v="0"/>
    <d v="2025-10-08T00:00:00"/>
    <d v="2025-10-10T00:00:00"/>
    <d v="2025-10-13T00:00:00"/>
    <d v="2025-10-20T00:00:00"/>
    <x v="1"/>
    <x v="3"/>
    <m/>
    <m/>
    <n v="2"/>
    <n v="3"/>
    <n v="7"/>
  </r>
  <r>
    <s v="L1246"/>
    <x v="2"/>
    <x v="2"/>
    <d v="2025-10-10T00:00:00"/>
    <d v="2025-10-12T00:00:00"/>
    <d v="2025-10-15T00:00:00"/>
    <d v="2025-10-18T00:00:00"/>
    <x v="0"/>
    <x v="0"/>
    <d v="2025-11-02T00:00:00"/>
    <n v="6"/>
    <n v="2"/>
    <n v="3"/>
    <n v="3"/>
  </r>
  <r>
    <s v="L1247"/>
    <x v="3"/>
    <x v="0"/>
    <d v="2025-10-23T00:00:00"/>
    <d v="2025-10-28T00:00:00"/>
    <d v="2025-11-02T00:00:00"/>
    <d v="2025-11-09T00:00:00"/>
    <x v="0"/>
    <x v="0"/>
    <d v="2025-12-09T00:00:00"/>
    <n v="4"/>
    <n v="5"/>
    <n v="5"/>
    <n v="7"/>
  </r>
  <r>
    <s v="L1248"/>
    <x v="2"/>
    <x v="0"/>
    <d v="2025-10-10T00:00:00"/>
    <d v="2025-10-12T00:00:00"/>
    <d v="2025-10-17T00:00:00"/>
    <d v="2025-10-20T00:00:00"/>
    <x v="0"/>
    <x v="0"/>
    <d v="2025-11-08T00:00:00"/>
    <n v="7"/>
    <n v="2"/>
    <n v="5"/>
    <n v="3"/>
  </r>
  <r>
    <s v="L1249"/>
    <x v="2"/>
    <x v="2"/>
    <d v="2025-10-23T00:00:00"/>
    <d v="2025-10-24T00:00:00"/>
    <d v="2025-10-25T00:00:00"/>
    <d v="2025-10-28T00:00:00"/>
    <x v="0"/>
    <x v="0"/>
    <d v="2025-11-09T00:00:00"/>
    <n v="3"/>
    <n v="1"/>
    <n v="1"/>
    <n v="3"/>
  </r>
  <r>
    <s v="L1250"/>
    <x v="2"/>
    <x v="0"/>
    <d v="2025-10-28T00:00:00"/>
    <d v="2025-10-30T00:00:00"/>
    <d v="2025-11-02T00:00:00"/>
    <d v="2025-11-05T00:00:00"/>
    <x v="0"/>
    <x v="0"/>
    <d v="2025-11-30T00:00:00"/>
    <n v="2"/>
    <n v="2"/>
    <n v="3"/>
    <n v="3"/>
  </r>
  <r>
    <s v="L1251"/>
    <x v="2"/>
    <x v="2"/>
    <d v="2025-10-15T00:00:00"/>
    <d v="2025-10-19T00:00:00"/>
    <d v="2025-10-22T00:00:00"/>
    <d v="2025-10-29T00:00:00"/>
    <x v="0"/>
    <x v="0"/>
    <d v="2025-11-11T00:00:00"/>
    <n v="6"/>
    <n v="4"/>
    <n v="3"/>
    <n v="7"/>
  </r>
  <r>
    <s v="L1252"/>
    <x v="2"/>
    <x v="2"/>
    <d v="2025-10-03T00:00:00"/>
    <d v="2025-10-07T00:00:00"/>
    <d v="2025-10-09T00:00:00"/>
    <d v="2025-10-13T00:00:00"/>
    <x v="0"/>
    <x v="0"/>
    <d v="2025-11-01T00:00:00"/>
    <n v="10"/>
    <n v="4"/>
    <n v="2"/>
    <n v="4"/>
  </r>
  <r>
    <s v="L1253"/>
    <x v="1"/>
    <x v="0"/>
    <d v="2025-10-22T00:00:00"/>
    <d v="2025-10-27T00:00:00"/>
    <d v="2025-10-28T00:00:00"/>
    <d v="2025-10-31T00:00:00"/>
    <x v="0"/>
    <x v="0"/>
    <d v="2025-11-22T00:00:00"/>
    <n v="4"/>
    <n v="5"/>
    <n v="1"/>
    <n v="3"/>
  </r>
  <r>
    <s v="L1254"/>
    <x v="2"/>
    <x v="0"/>
    <d v="2025-10-08T00:00:00"/>
    <d v="2025-10-13T00:00:00"/>
    <d v="2025-10-14T00:00:00"/>
    <d v="2025-10-21T00:00:00"/>
    <x v="0"/>
    <x v="0"/>
    <d v="2025-11-15T00:00:00"/>
    <n v="5"/>
    <n v="5"/>
    <n v="1"/>
    <n v="7"/>
  </r>
  <r>
    <s v="L1255"/>
    <x v="2"/>
    <x v="0"/>
    <d v="2025-10-30T00:00:00"/>
    <d v="2025-11-03T00:00:00"/>
    <d v="2025-11-07T00:00:00"/>
    <d v="2025-11-12T00:00:00"/>
    <x v="1"/>
    <x v="2"/>
    <m/>
    <m/>
    <n v="4"/>
    <n v="4"/>
    <n v="5"/>
  </r>
  <r>
    <s v="L1256"/>
    <x v="3"/>
    <x v="0"/>
    <d v="2025-10-09T00:00:00"/>
    <d v="2025-10-14T00:00:00"/>
    <d v="2025-10-17T00:00:00"/>
    <d v="2025-10-22T00:00:00"/>
    <x v="0"/>
    <x v="0"/>
    <d v="2025-11-16T00:00:00"/>
    <n v="3"/>
    <n v="5"/>
    <n v="3"/>
    <n v="5"/>
  </r>
  <r>
    <s v="L1257"/>
    <x v="0"/>
    <x v="1"/>
    <d v="2025-10-26T00:00:00"/>
    <m/>
    <m/>
    <m/>
    <x v="1"/>
    <x v="4"/>
    <m/>
    <m/>
    <m/>
    <n v="0"/>
    <n v="0"/>
  </r>
  <r>
    <s v="L1258"/>
    <x v="1"/>
    <x v="2"/>
    <d v="2025-10-26T00:00:00"/>
    <d v="2025-10-31T00:00:00"/>
    <d v="2025-11-02T00:00:00"/>
    <d v="2025-11-05T00:00:00"/>
    <x v="1"/>
    <x v="4"/>
    <m/>
    <m/>
    <n v="5"/>
    <n v="2"/>
    <n v="3"/>
  </r>
  <r>
    <s v="L1259"/>
    <x v="1"/>
    <x v="0"/>
    <d v="2025-10-21T00:00:00"/>
    <d v="2025-10-24T00:00:00"/>
    <d v="2025-10-28T00:00:00"/>
    <d v="2025-11-03T00:00:00"/>
    <x v="0"/>
    <x v="0"/>
    <d v="2025-11-21T00:00:00"/>
    <n v="4"/>
    <n v="3"/>
    <n v="4"/>
    <n v="6"/>
  </r>
  <r>
    <s v="L1260"/>
    <x v="1"/>
    <x v="0"/>
    <d v="2025-10-19T00:00:00"/>
    <d v="2025-10-22T00:00:00"/>
    <d v="2025-10-27T00:00:00"/>
    <d v="2025-11-03T00:00:00"/>
    <x v="0"/>
    <x v="0"/>
    <d v="2025-11-15T00:00:00"/>
    <n v="2"/>
    <n v="3"/>
    <n v="5"/>
    <n v="7"/>
  </r>
  <r>
    <s v="L1261"/>
    <x v="2"/>
    <x v="0"/>
    <d v="2025-10-22T00:00:00"/>
    <d v="2025-10-24T00:00:00"/>
    <d v="2025-10-27T00:00:00"/>
    <d v="2025-10-31T00:00:00"/>
    <x v="0"/>
    <x v="0"/>
    <d v="2025-11-30T00:00:00"/>
    <n v="9"/>
    <n v="2"/>
    <n v="3"/>
    <n v="4"/>
  </r>
  <r>
    <s v="L1262"/>
    <x v="2"/>
    <x v="1"/>
    <d v="2025-10-26T00:00:00"/>
    <m/>
    <m/>
    <m/>
    <x v="1"/>
    <x v="1"/>
    <m/>
    <m/>
    <m/>
    <n v="0"/>
    <n v="0"/>
  </r>
  <r>
    <s v="L1263"/>
    <x v="2"/>
    <x v="0"/>
    <d v="2025-10-30T00:00:00"/>
    <d v="2025-11-03T00:00:00"/>
    <d v="2025-11-04T00:00:00"/>
    <d v="2025-11-11T00:00:00"/>
    <x v="0"/>
    <x v="0"/>
    <d v="2025-12-08T00:00:00"/>
    <n v="5"/>
    <n v="4"/>
    <n v="1"/>
    <n v="7"/>
  </r>
  <r>
    <s v="L1264"/>
    <x v="3"/>
    <x v="0"/>
    <d v="2025-10-07T00:00:00"/>
    <d v="2025-10-08T00:00:00"/>
    <d v="2025-10-11T00:00:00"/>
    <d v="2025-10-16T00:00:00"/>
    <x v="0"/>
    <x v="0"/>
    <d v="2025-11-07T00:00:00"/>
    <n v="7"/>
    <n v="1"/>
    <n v="3"/>
    <n v="5"/>
  </r>
  <r>
    <s v="L1265"/>
    <x v="0"/>
    <x v="0"/>
    <d v="2025-10-14T00:00:00"/>
    <d v="2025-10-18T00:00:00"/>
    <d v="2025-10-21T00:00:00"/>
    <d v="2025-10-26T00:00:00"/>
    <x v="0"/>
    <x v="0"/>
    <d v="2025-11-10T00:00:00"/>
    <n v="5"/>
    <n v="4"/>
    <n v="3"/>
    <n v="5"/>
  </r>
  <r>
    <s v="L1266"/>
    <x v="2"/>
    <x v="1"/>
    <d v="2025-10-04T00:00:00"/>
    <m/>
    <m/>
    <m/>
    <x v="1"/>
    <x v="3"/>
    <m/>
    <m/>
    <m/>
    <n v="0"/>
    <n v="0"/>
  </r>
  <r>
    <s v="L1267"/>
    <x v="0"/>
    <x v="1"/>
    <d v="2025-10-18T00:00:00"/>
    <m/>
    <m/>
    <m/>
    <x v="1"/>
    <x v="2"/>
    <m/>
    <m/>
    <m/>
    <n v="0"/>
    <n v="0"/>
  </r>
  <r>
    <s v="L1268"/>
    <x v="3"/>
    <x v="0"/>
    <d v="2025-10-08T00:00:00"/>
    <d v="2025-10-12T00:00:00"/>
    <d v="2025-10-17T00:00:00"/>
    <d v="2025-10-22T00:00:00"/>
    <x v="0"/>
    <x v="0"/>
    <d v="2025-11-12T00:00:00"/>
    <n v="6"/>
    <n v="4"/>
    <n v="5"/>
    <n v="5"/>
  </r>
  <r>
    <s v="L1269"/>
    <x v="1"/>
    <x v="0"/>
    <d v="2025-10-21T00:00:00"/>
    <d v="2025-10-24T00:00:00"/>
    <d v="2025-10-26T00:00:00"/>
    <d v="2025-10-28T00:00:00"/>
    <x v="0"/>
    <x v="0"/>
    <d v="2025-11-19T00:00:00"/>
    <n v="1"/>
    <n v="3"/>
    <n v="2"/>
    <n v="2"/>
  </r>
  <r>
    <s v="L1270"/>
    <x v="2"/>
    <x v="2"/>
    <d v="2025-10-05T00:00:00"/>
    <d v="2025-10-08T00:00:00"/>
    <d v="2025-10-10T00:00:00"/>
    <d v="2025-10-17T00:00:00"/>
    <x v="0"/>
    <x v="0"/>
    <d v="2025-11-07T00:00:00"/>
    <n v="5"/>
    <n v="3"/>
    <n v="2"/>
    <n v="7"/>
  </r>
  <r>
    <s v="L1271"/>
    <x v="0"/>
    <x v="2"/>
    <d v="2025-10-30T00:00:00"/>
    <d v="2025-11-04T00:00:00"/>
    <d v="2025-11-06T00:00:00"/>
    <d v="2025-11-08T00:00:00"/>
    <x v="0"/>
    <x v="0"/>
    <d v="2025-11-23T00:00:00"/>
    <n v="6"/>
    <n v="5"/>
    <n v="2"/>
    <n v="2"/>
  </r>
  <r>
    <s v="L1272"/>
    <x v="0"/>
    <x v="0"/>
    <d v="2025-10-09T00:00:00"/>
    <d v="2025-10-10T00:00:00"/>
    <d v="2025-10-14T00:00:00"/>
    <d v="2025-10-19T00:00:00"/>
    <x v="0"/>
    <x v="0"/>
    <d v="2025-11-12T00:00:00"/>
    <n v="9"/>
    <n v="1"/>
    <n v="4"/>
    <n v="5"/>
  </r>
  <r>
    <s v="L1273"/>
    <x v="2"/>
    <x v="2"/>
    <d v="2025-10-27T00:00:00"/>
    <d v="2025-10-30T00:00:00"/>
    <d v="2025-11-01T00:00:00"/>
    <d v="2025-11-07T00:00:00"/>
    <x v="0"/>
    <x v="0"/>
    <d v="2025-11-18T00:00:00"/>
    <n v="2"/>
    <n v="3"/>
    <n v="2"/>
    <n v="6"/>
  </r>
  <r>
    <s v="L1274"/>
    <x v="1"/>
    <x v="0"/>
    <d v="2025-10-05T00:00:00"/>
    <d v="2025-10-10T00:00:00"/>
    <d v="2025-10-14T00:00:00"/>
    <d v="2025-10-21T00:00:00"/>
    <x v="0"/>
    <x v="0"/>
    <d v="2025-11-08T00:00:00"/>
    <n v="3"/>
    <n v="5"/>
    <n v="4"/>
    <n v="7"/>
  </r>
  <r>
    <s v="L1275"/>
    <x v="1"/>
    <x v="2"/>
    <d v="2025-10-03T00:00:00"/>
    <d v="2025-10-04T00:00:00"/>
    <d v="2025-10-09T00:00:00"/>
    <d v="2025-10-13T00:00:00"/>
    <x v="0"/>
    <x v="0"/>
    <d v="2025-11-06T00:00:00"/>
    <n v="10"/>
    <n v="1"/>
    <n v="5"/>
    <n v="4"/>
  </r>
  <r>
    <s v="L1276"/>
    <x v="1"/>
    <x v="0"/>
    <d v="2025-10-02T00:00:00"/>
    <d v="2025-10-05T00:00:00"/>
    <d v="2025-10-08T00:00:00"/>
    <d v="2025-10-15T00:00:00"/>
    <x v="0"/>
    <x v="0"/>
    <d v="2025-11-08T00:00:00"/>
    <n v="8"/>
    <n v="3"/>
    <n v="3"/>
    <n v="7"/>
  </r>
  <r>
    <s v="L1277"/>
    <x v="3"/>
    <x v="0"/>
    <d v="2025-10-06T00:00:00"/>
    <d v="2025-10-10T00:00:00"/>
    <d v="2025-10-14T00:00:00"/>
    <d v="2025-10-18T00:00:00"/>
    <x v="0"/>
    <x v="0"/>
    <d v="2025-11-05T00:00:00"/>
    <n v="1"/>
    <n v="4"/>
    <n v="4"/>
    <n v="4"/>
  </r>
  <r>
    <s v="L1278"/>
    <x v="0"/>
    <x v="1"/>
    <d v="2025-10-26T00:00:00"/>
    <m/>
    <m/>
    <m/>
    <x v="1"/>
    <x v="1"/>
    <m/>
    <m/>
    <m/>
    <n v="0"/>
    <n v="0"/>
  </r>
  <r>
    <s v="L1279"/>
    <x v="0"/>
    <x v="2"/>
    <d v="2025-10-10T00:00:00"/>
    <d v="2025-10-14T00:00:00"/>
    <d v="2025-10-19T00:00:00"/>
    <d v="2025-10-24T00:00:00"/>
    <x v="1"/>
    <x v="1"/>
    <m/>
    <m/>
    <n v="4"/>
    <n v="5"/>
    <n v="5"/>
  </r>
  <r>
    <s v="L1280"/>
    <x v="0"/>
    <x v="0"/>
    <d v="2025-10-20T00:00:00"/>
    <d v="2025-10-21T00:00:00"/>
    <d v="2025-10-25T00:00:00"/>
    <d v="2025-10-30T00:00:00"/>
    <x v="0"/>
    <x v="0"/>
    <d v="2025-11-16T00:00:00"/>
    <n v="8"/>
    <n v="1"/>
    <n v="4"/>
    <n v="5"/>
  </r>
  <r>
    <s v="L1281"/>
    <x v="3"/>
    <x v="1"/>
    <d v="2025-10-24T00:00:00"/>
    <m/>
    <m/>
    <m/>
    <x v="1"/>
    <x v="3"/>
    <m/>
    <m/>
    <m/>
    <n v="0"/>
    <n v="0"/>
  </r>
  <r>
    <s v="L1282"/>
    <x v="0"/>
    <x v="2"/>
    <d v="2025-10-27T00:00:00"/>
    <d v="2025-10-28T00:00:00"/>
    <d v="2025-11-02T00:00:00"/>
    <d v="2025-11-06T00:00:00"/>
    <x v="1"/>
    <x v="2"/>
    <m/>
    <m/>
    <n v="1"/>
    <n v="5"/>
    <n v="4"/>
  </r>
  <r>
    <s v="L1283"/>
    <x v="3"/>
    <x v="1"/>
    <d v="2025-10-19T00:00:00"/>
    <m/>
    <m/>
    <m/>
    <x v="1"/>
    <x v="3"/>
    <m/>
    <m/>
    <m/>
    <n v="0"/>
    <n v="0"/>
  </r>
  <r>
    <s v="L1284"/>
    <x v="1"/>
    <x v="0"/>
    <d v="2025-10-30T00:00:00"/>
    <d v="2025-11-02T00:00:00"/>
    <d v="2025-11-04T00:00:00"/>
    <d v="2025-11-10T00:00:00"/>
    <x v="0"/>
    <x v="0"/>
    <d v="2025-11-28T00:00:00"/>
    <n v="4"/>
    <n v="3"/>
    <n v="2"/>
    <n v="6"/>
  </r>
  <r>
    <s v="L1285"/>
    <x v="2"/>
    <x v="0"/>
    <d v="2025-10-10T00:00:00"/>
    <d v="2025-10-13T00:00:00"/>
    <d v="2025-10-15T00:00:00"/>
    <d v="2025-10-17T00:00:00"/>
    <x v="0"/>
    <x v="0"/>
    <d v="2025-11-14T00:00:00"/>
    <n v="9"/>
    <n v="3"/>
    <n v="2"/>
    <n v="2"/>
  </r>
  <r>
    <s v="L1286"/>
    <x v="0"/>
    <x v="1"/>
    <d v="2025-10-15T00:00:00"/>
    <m/>
    <m/>
    <m/>
    <x v="1"/>
    <x v="2"/>
    <m/>
    <m/>
    <m/>
    <n v="0"/>
    <n v="0"/>
  </r>
  <r>
    <s v="L1287"/>
    <x v="0"/>
    <x v="2"/>
    <d v="2025-10-04T00:00:00"/>
    <d v="2025-10-05T00:00:00"/>
    <d v="2025-10-10T00:00:00"/>
    <d v="2025-10-17T00:00:00"/>
    <x v="0"/>
    <x v="0"/>
    <d v="2025-10-28T00:00:00"/>
    <n v="2"/>
    <n v="1"/>
    <n v="5"/>
    <n v="7"/>
  </r>
  <r>
    <s v="L1288"/>
    <x v="1"/>
    <x v="0"/>
    <d v="2025-10-15T00:00:00"/>
    <d v="2025-10-16T00:00:00"/>
    <d v="2025-10-17T00:00:00"/>
    <d v="2025-10-19T00:00:00"/>
    <x v="1"/>
    <x v="3"/>
    <m/>
    <m/>
    <n v="1"/>
    <n v="1"/>
    <n v="2"/>
  </r>
  <r>
    <s v="L1289"/>
    <x v="2"/>
    <x v="1"/>
    <d v="2025-10-23T00:00:00"/>
    <m/>
    <m/>
    <m/>
    <x v="1"/>
    <x v="1"/>
    <m/>
    <m/>
    <m/>
    <n v="0"/>
    <n v="0"/>
  </r>
  <r>
    <s v="L1290"/>
    <x v="3"/>
    <x v="2"/>
    <d v="2025-10-10T00:00:00"/>
    <d v="2025-10-15T00:00:00"/>
    <d v="2025-10-20T00:00:00"/>
    <d v="2025-10-27T00:00:00"/>
    <x v="0"/>
    <x v="0"/>
    <d v="2025-11-10T00:00:00"/>
    <n v="4"/>
    <n v="5"/>
    <n v="5"/>
    <n v="7"/>
  </r>
  <r>
    <s v="L1291"/>
    <x v="2"/>
    <x v="0"/>
    <d v="2025-10-23T00:00:00"/>
    <d v="2025-10-28T00:00:00"/>
    <d v="2025-11-01T00:00:00"/>
    <d v="2025-11-06T00:00:00"/>
    <x v="0"/>
    <x v="0"/>
    <d v="2025-11-19T00:00:00"/>
    <n v="1"/>
    <n v="5"/>
    <n v="4"/>
    <n v="5"/>
  </r>
  <r>
    <s v="L1292"/>
    <x v="1"/>
    <x v="1"/>
    <d v="2025-10-13T00:00:00"/>
    <m/>
    <m/>
    <m/>
    <x v="1"/>
    <x v="1"/>
    <m/>
    <m/>
    <m/>
    <n v="0"/>
    <n v="0"/>
  </r>
  <r>
    <s v="L1293"/>
    <x v="1"/>
    <x v="2"/>
    <d v="2025-10-31T00:00:00"/>
    <d v="2025-11-05T00:00:00"/>
    <d v="2025-11-10T00:00:00"/>
    <d v="2025-11-17T00:00:00"/>
    <x v="0"/>
    <x v="0"/>
    <d v="2025-11-29T00:00:00"/>
    <n v="6"/>
    <n v="5"/>
    <n v="5"/>
    <n v="7"/>
  </r>
  <r>
    <s v="L1294"/>
    <x v="2"/>
    <x v="1"/>
    <d v="2025-10-09T00:00:00"/>
    <m/>
    <m/>
    <m/>
    <x v="1"/>
    <x v="5"/>
    <m/>
    <m/>
    <m/>
    <n v="0"/>
    <n v="0"/>
  </r>
  <r>
    <s v="L1295"/>
    <x v="3"/>
    <x v="0"/>
    <d v="2025-10-17T00:00:00"/>
    <d v="2025-10-21T00:00:00"/>
    <d v="2025-10-24T00:00:00"/>
    <d v="2025-10-31T00:00:00"/>
    <x v="1"/>
    <x v="4"/>
    <m/>
    <m/>
    <n v="4"/>
    <n v="3"/>
    <n v="7"/>
  </r>
  <r>
    <s v="L1296"/>
    <x v="3"/>
    <x v="0"/>
    <d v="2025-10-18T00:00:00"/>
    <d v="2025-10-22T00:00:00"/>
    <d v="2025-10-23T00:00:00"/>
    <d v="2025-10-30T00:00:00"/>
    <x v="0"/>
    <x v="0"/>
    <d v="2025-11-20T00:00:00"/>
    <n v="6"/>
    <n v="4"/>
    <n v="1"/>
    <n v="7"/>
  </r>
  <r>
    <s v="L1297"/>
    <x v="0"/>
    <x v="0"/>
    <d v="2025-10-16T00:00:00"/>
    <d v="2025-10-21T00:00:00"/>
    <d v="2025-10-26T00:00:00"/>
    <d v="2025-10-30T00:00:00"/>
    <x v="0"/>
    <x v="0"/>
    <d v="2025-11-26T00:00:00"/>
    <n v="10"/>
    <n v="5"/>
    <n v="5"/>
    <n v="4"/>
  </r>
  <r>
    <s v="L1298"/>
    <x v="3"/>
    <x v="2"/>
    <d v="2025-10-15T00:00:00"/>
    <d v="2025-10-20T00:00:00"/>
    <d v="2025-10-21T00:00:00"/>
    <d v="2025-10-23T00:00:00"/>
    <x v="0"/>
    <x v="0"/>
    <d v="2025-11-15T00:00:00"/>
    <n v="10"/>
    <n v="5"/>
    <n v="1"/>
    <n v="2"/>
  </r>
  <r>
    <s v="L1299"/>
    <x v="2"/>
    <x v="1"/>
    <d v="2025-10-03T00:00:00"/>
    <m/>
    <m/>
    <m/>
    <x v="1"/>
    <x v="3"/>
    <m/>
    <m/>
    <m/>
    <n v="0"/>
    <n v="0"/>
  </r>
  <r>
    <s v="L1300"/>
    <x v="1"/>
    <x v="1"/>
    <d v="2025-10-20T00:00:00"/>
    <m/>
    <m/>
    <m/>
    <x v="1"/>
    <x v="5"/>
    <m/>
    <m/>
    <m/>
    <n v="0"/>
    <n v="0"/>
  </r>
  <r>
    <s v="L1301"/>
    <x v="0"/>
    <x v="0"/>
    <d v="2025-10-02T00:00:00"/>
    <d v="2025-10-03T00:00:00"/>
    <d v="2025-10-04T00:00:00"/>
    <d v="2025-10-10T00:00:00"/>
    <x v="0"/>
    <x v="0"/>
    <d v="2025-11-07T00:00:00"/>
    <n v="8"/>
    <n v="1"/>
    <n v="1"/>
    <n v="6"/>
  </r>
  <r>
    <s v="L1302"/>
    <x v="0"/>
    <x v="0"/>
    <d v="2025-10-29T00:00:00"/>
    <d v="2025-11-02T00:00:00"/>
    <d v="2025-11-07T00:00:00"/>
    <d v="2025-11-12T00:00:00"/>
    <x v="0"/>
    <x v="0"/>
    <d v="2025-11-29T00:00:00"/>
    <n v="5"/>
    <n v="4"/>
    <n v="5"/>
    <n v="5"/>
  </r>
  <r>
    <s v="L1303"/>
    <x v="1"/>
    <x v="0"/>
    <d v="2025-10-14T00:00:00"/>
    <d v="2025-10-19T00:00:00"/>
    <d v="2025-10-24T00:00:00"/>
    <d v="2025-10-27T00:00:00"/>
    <x v="0"/>
    <x v="0"/>
    <d v="2025-11-23T00:00:00"/>
    <n v="6"/>
    <n v="5"/>
    <n v="5"/>
    <n v="3"/>
  </r>
  <r>
    <s v="L1304"/>
    <x v="3"/>
    <x v="0"/>
    <d v="2025-10-24T00:00:00"/>
    <d v="2025-10-26T00:00:00"/>
    <d v="2025-10-28T00:00:00"/>
    <d v="2025-11-02T00:00:00"/>
    <x v="0"/>
    <x v="0"/>
    <d v="2025-11-13T00:00:00"/>
    <n v="1"/>
    <n v="2"/>
    <n v="2"/>
    <n v="5"/>
  </r>
  <r>
    <s v="L1305"/>
    <x v="1"/>
    <x v="0"/>
    <d v="2025-10-11T00:00:00"/>
    <d v="2025-10-14T00:00:00"/>
    <d v="2025-10-19T00:00:00"/>
    <d v="2025-10-22T00:00:00"/>
    <x v="0"/>
    <x v="0"/>
    <d v="2025-11-13T00:00:00"/>
    <n v="1"/>
    <n v="3"/>
    <n v="5"/>
    <n v="3"/>
  </r>
  <r>
    <s v="L1306"/>
    <x v="3"/>
    <x v="0"/>
    <d v="2025-10-20T00:00:00"/>
    <d v="2025-10-25T00:00:00"/>
    <d v="2025-10-30T00:00:00"/>
    <d v="2025-11-04T00:00:00"/>
    <x v="0"/>
    <x v="0"/>
    <d v="2025-11-30T00:00:00"/>
    <n v="8"/>
    <n v="5"/>
    <n v="5"/>
    <n v="5"/>
  </r>
  <r>
    <s v="L1307"/>
    <x v="1"/>
    <x v="0"/>
    <d v="2025-10-09T00:00:00"/>
    <d v="2025-10-13T00:00:00"/>
    <d v="2025-10-15T00:00:00"/>
    <d v="2025-10-19T00:00:00"/>
    <x v="0"/>
    <x v="0"/>
    <d v="2025-11-11T00:00:00"/>
    <n v="9"/>
    <n v="4"/>
    <n v="2"/>
    <n v="4"/>
  </r>
  <r>
    <s v="L1308"/>
    <x v="2"/>
    <x v="0"/>
    <d v="2025-10-01T00:00:00"/>
    <d v="2025-10-06T00:00:00"/>
    <d v="2025-10-08T00:00:00"/>
    <d v="2025-10-12T00:00:00"/>
    <x v="0"/>
    <x v="0"/>
    <d v="2025-11-08T00:00:00"/>
    <n v="6"/>
    <n v="5"/>
    <n v="2"/>
    <n v="4"/>
  </r>
  <r>
    <s v="L1309"/>
    <x v="3"/>
    <x v="0"/>
    <d v="2025-10-03T00:00:00"/>
    <d v="2025-10-05T00:00:00"/>
    <d v="2025-10-08T00:00:00"/>
    <d v="2025-10-12T00:00:00"/>
    <x v="0"/>
    <x v="0"/>
    <d v="2025-11-06T00:00:00"/>
    <n v="5"/>
    <n v="2"/>
    <n v="3"/>
    <n v="4"/>
  </r>
  <r>
    <s v="L1310"/>
    <x v="2"/>
    <x v="2"/>
    <d v="2025-10-08T00:00:00"/>
    <d v="2025-10-09T00:00:00"/>
    <d v="2025-10-14T00:00:00"/>
    <d v="2025-10-18T00:00:00"/>
    <x v="0"/>
    <x v="0"/>
    <d v="2025-11-15T00:00:00"/>
    <n v="3"/>
    <n v="1"/>
    <n v="5"/>
    <n v="4"/>
  </r>
  <r>
    <s v="L1311"/>
    <x v="0"/>
    <x v="2"/>
    <d v="2025-10-31T00:00:00"/>
    <d v="2025-11-04T00:00:00"/>
    <d v="2025-11-08T00:00:00"/>
    <d v="2025-11-14T00:00:00"/>
    <x v="0"/>
    <x v="0"/>
    <d v="2025-12-01T00:00:00"/>
    <n v="6"/>
    <n v="4"/>
    <n v="4"/>
    <n v="6"/>
  </r>
  <r>
    <s v="L1312"/>
    <x v="1"/>
    <x v="0"/>
    <d v="2025-10-22T00:00:00"/>
    <d v="2025-10-23T00:00:00"/>
    <d v="2025-10-24T00:00:00"/>
    <d v="2025-10-30T00:00:00"/>
    <x v="0"/>
    <x v="0"/>
    <d v="2025-11-24T00:00:00"/>
    <n v="6"/>
    <n v="1"/>
    <n v="1"/>
    <n v="6"/>
  </r>
  <r>
    <s v="L1313"/>
    <x v="0"/>
    <x v="0"/>
    <d v="2025-10-27T00:00:00"/>
    <d v="2025-10-30T00:00:00"/>
    <d v="2025-11-01T00:00:00"/>
    <d v="2025-11-04T00:00:00"/>
    <x v="0"/>
    <x v="0"/>
    <d v="2025-11-23T00:00:00"/>
    <n v="6"/>
    <n v="3"/>
    <n v="2"/>
    <n v="3"/>
  </r>
  <r>
    <s v="L1314"/>
    <x v="0"/>
    <x v="0"/>
    <d v="2025-10-28T00:00:00"/>
    <d v="2025-10-29T00:00:00"/>
    <d v="2025-11-03T00:00:00"/>
    <d v="2025-11-09T00:00:00"/>
    <x v="0"/>
    <x v="0"/>
    <d v="2025-11-21T00:00:00"/>
    <n v="4"/>
    <n v="1"/>
    <n v="5"/>
    <n v="6"/>
  </r>
  <r>
    <s v="L1315"/>
    <x v="0"/>
    <x v="0"/>
    <d v="2025-10-19T00:00:00"/>
    <d v="2025-10-24T00:00:00"/>
    <d v="2025-10-28T00:00:00"/>
    <d v="2025-11-02T00:00:00"/>
    <x v="0"/>
    <x v="0"/>
    <d v="2025-11-24T00:00:00"/>
    <n v="5"/>
    <n v="5"/>
    <n v="4"/>
    <n v="5"/>
  </r>
  <r>
    <s v="L1316"/>
    <x v="0"/>
    <x v="0"/>
    <d v="2025-10-19T00:00:00"/>
    <d v="2025-10-21T00:00:00"/>
    <d v="2025-10-22T00:00:00"/>
    <d v="2025-10-26T00:00:00"/>
    <x v="0"/>
    <x v="0"/>
    <d v="2025-11-06T00:00:00"/>
    <n v="9"/>
    <n v="2"/>
    <n v="1"/>
    <n v="4"/>
  </r>
  <r>
    <s v="L1317"/>
    <x v="1"/>
    <x v="0"/>
    <d v="2025-10-31T00:00:00"/>
    <d v="2025-11-01T00:00:00"/>
    <d v="2025-11-06T00:00:00"/>
    <d v="2025-11-13T00:00:00"/>
    <x v="1"/>
    <x v="4"/>
    <m/>
    <m/>
    <n v="1"/>
    <n v="5"/>
    <n v="7"/>
  </r>
  <r>
    <s v="L1318"/>
    <x v="0"/>
    <x v="0"/>
    <d v="2025-10-01T00:00:00"/>
    <d v="2025-10-03T00:00:00"/>
    <d v="2025-10-07T00:00:00"/>
    <d v="2025-10-09T00:00:00"/>
    <x v="0"/>
    <x v="0"/>
    <d v="2025-11-04T00:00:00"/>
    <n v="6"/>
    <n v="2"/>
    <n v="4"/>
    <n v="2"/>
  </r>
  <r>
    <s v="L1319"/>
    <x v="1"/>
    <x v="0"/>
    <d v="2025-10-25T00:00:00"/>
    <d v="2025-10-29T00:00:00"/>
    <d v="2025-10-30T00:00:00"/>
    <d v="2025-11-01T00:00:00"/>
    <x v="1"/>
    <x v="3"/>
    <m/>
    <m/>
    <n v="4"/>
    <n v="1"/>
    <n v="2"/>
  </r>
  <r>
    <s v="L1320"/>
    <x v="1"/>
    <x v="0"/>
    <d v="2025-10-22T00:00:00"/>
    <d v="2025-10-26T00:00:00"/>
    <d v="2025-10-30T00:00:00"/>
    <d v="2025-11-01T00:00:00"/>
    <x v="0"/>
    <x v="0"/>
    <d v="2025-11-29T00:00:00"/>
    <n v="4"/>
    <n v="4"/>
    <n v="4"/>
    <n v="2"/>
  </r>
  <r>
    <s v="L1321"/>
    <x v="2"/>
    <x v="1"/>
    <d v="2025-10-27T00:00:00"/>
    <m/>
    <m/>
    <m/>
    <x v="1"/>
    <x v="2"/>
    <m/>
    <m/>
    <m/>
    <n v="0"/>
    <n v="0"/>
  </r>
  <r>
    <s v="L1322"/>
    <x v="3"/>
    <x v="0"/>
    <d v="2025-10-09T00:00:00"/>
    <d v="2025-10-14T00:00:00"/>
    <d v="2025-10-16T00:00:00"/>
    <d v="2025-10-23T00:00:00"/>
    <x v="1"/>
    <x v="4"/>
    <m/>
    <m/>
    <n v="5"/>
    <n v="2"/>
    <n v="7"/>
  </r>
  <r>
    <s v="L1323"/>
    <x v="3"/>
    <x v="2"/>
    <d v="2025-10-19T00:00:00"/>
    <d v="2025-10-24T00:00:00"/>
    <d v="2025-10-29T00:00:00"/>
    <d v="2025-11-03T00:00:00"/>
    <x v="0"/>
    <x v="0"/>
    <d v="2025-11-29T00:00:00"/>
    <n v="2"/>
    <n v="5"/>
    <n v="5"/>
    <n v="5"/>
  </r>
  <r>
    <s v="L1324"/>
    <x v="1"/>
    <x v="2"/>
    <d v="2025-10-02T00:00:00"/>
    <d v="2025-10-07T00:00:00"/>
    <d v="2025-10-11T00:00:00"/>
    <d v="2025-10-13T00:00:00"/>
    <x v="1"/>
    <x v="1"/>
    <m/>
    <m/>
    <n v="5"/>
    <n v="4"/>
    <n v="2"/>
  </r>
  <r>
    <s v="L1325"/>
    <x v="2"/>
    <x v="2"/>
    <d v="2025-10-25T00:00:00"/>
    <d v="2025-10-27T00:00:00"/>
    <d v="2025-10-31T00:00:00"/>
    <d v="2025-11-02T00:00:00"/>
    <x v="0"/>
    <x v="0"/>
    <d v="2025-11-30T00:00:00"/>
    <n v="10"/>
    <n v="2"/>
    <n v="4"/>
    <n v="2"/>
  </r>
  <r>
    <s v="L1326"/>
    <x v="1"/>
    <x v="0"/>
    <d v="2025-10-25T00:00:00"/>
    <d v="2025-10-28T00:00:00"/>
    <d v="2025-11-02T00:00:00"/>
    <d v="2025-11-05T00:00:00"/>
    <x v="0"/>
    <x v="0"/>
    <d v="2025-12-04T00:00:00"/>
    <n v="6"/>
    <n v="3"/>
    <n v="5"/>
    <n v="3"/>
  </r>
  <r>
    <s v="L1327"/>
    <x v="1"/>
    <x v="0"/>
    <d v="2025-10-06T00:00:00"/>
    <d v="2025-10-09T00:00:00"/>
    <d v="2025-10-10T00:00:00"/>
    <d v="2025-10-15T00:00:00"/>
    <x v="0"/>
    <x v="0"/>
    <d v="2025-10-29T00:00:00"/>
    <n v="7"/>
    <n v="3"/>
    <n v="1"/>
    <n v="5"/>
  </r>
  <r>
    <s v="L1328"/>
    <x v="1"/>
    <x v="0"/>
    <d v="2025-10-16T00:00:00"/>
    <d v="2025-10-19T00:00:00"/>
    <d v="2025-10-24T00:00:00"/>
    <d v="2025-10-29T00:00:00"/>
    <x v="0"/>
    <x v="0"/>
    <d v="2025-11-11T00:00:00"/>
    <n v="3"/>
    <n v="3"/>
    <n v="5"/>
    <n v="5"/>
  </r>
  <r>
    <s v="L1329"/>
    <x v="2"/>
    <x v="0"/>
    <d v="2025-10-17T00:00:00"/>
    <d v="2025-10-21T00:00:00"/>
    <d v="2025-10-25T00:00:00"/>
    <d v="2025-10-27T00:00:00"/>
    <x v="0"/>
    <x v="0"/>
    <d v="2025-11-20T00:00:00"/>
    <n v="2"/>
    <n v="4"/>
    <n v="4"/>
    <n v="2"/>
  </r>
  <r>
    <s v="L1330"/>
    <x v="3"/>
    <x v="2"/>
    <d v="2025-10-21T00:00:00"/>
    <d v="2025-10-25T00:00:00"/>
    <d v="2025-10-28T00:00:00"/>
    <d v="2025-11-02T00:00:00"/>
    <x v="0"/>
    <x v="0"/>
    <d v="2025-11-17T00:00:00"/>
    <n v="1"/>
    <n v="4"/>
    <n v="3"/>
    <n v="5"/>
  </r>
  <r>
    <s v="L1331"/>
    <x v="2"/>
    <x v="0"/>
    <d v="2025-10-15T00:00:00"/>
    <d v="2025-10-18T00:00:00"/>
    <d v="2025-10-19T00:00:00"/>
    <d v="2025-10-22T00:00:00"/>
    <x v="0"/>
    <x v="0"/>
    <d v="2025-11-06T00:00:00"/>
    <n v="0"/>
    <n v="3"/>
    <n v="1"/>
    <n v="3"/>
  </r>
  <r>
    <s v="L1332"/>
    <x v="0"/>
    <x v="2"/>
    <d v="2025-10-30T00:00:00"/>
    <d v="2025-11-04T00:00:00"/>
    <d v="2025-11-08T00:00:00"/>
    <d v="2025-11-15T00:00:00"/>
    <x v="0"/>
    <x v="0"/>
    <d v="2025-12-01T00:00:00"/>
    <n v="2"/>
    <n v="5"/>
    <n v="4"/>
    <n v="7"/>
  </r>
  <r>
    <s v="L1333"/>
    <x v="2"/>
    <x v="0"/>
    <d v="2025-10-09T00:00:00"/>
    <d v="2025-10-10T00:00:00"/>
    <d v="2025-10-13T00:00:00"/>
    <d v="2025-10-16T00:00:00"/>
    <x v="0"/>
    <x v="0"/>
    <d v="2025-11-01T00:00:00"/>
    <n v="2"/>
    <n v="1"/>
    <n v="3"/>
    <n v="3"/>
  </r>
  <r>
    <s v="L1334"/>
    <x v="2"/>
    <x v="2"/>
    <d v="2025-10-06T00:00:00"/>
    <d v="2025-10-09T00:00:00"/>
    <d v="2025-10-10T00:00:00"/>
    <d v="2025-10-17T00:00:00"/>
    <x v="0"/>
    <x v="0"/>
    <d v="2025-10-31T00:00:00"/>
    <n v="1"/>
    <n v="3"/>
    <n v="1"/>
    <n v="7"/>
  </r>
  <r>
    <s v="L1335"/>
    <x v="2"/>
    <x v="1"/>
    <d v="2025-10-19T00:00:00"/>
    <m/>
    <m/>
    <m/>
    <x v="1"/>
    <x v="5"/>
    <m/>
    <m/>
    <m/>
    <n v="0"/>
    <n v="0"/>
  </r>
  <r>
    <s v="L1336"/>
    <x v="2"/>
    <x v="2"/>
    <d v="2025-10-14T00:00:00"/>
    <d v="2025-10-15T00:00:00"/>
    <d v="2025-10-17T00:00:00"/>
    <d v="2025-10-21T00:00:00"/>
    <x v="0"/>
    <x v="0"/>
    <d v="2025-11-01T00:00:00"/>
    <n v="7"/>
    <n v="1"/>
    <n v="2"/>
    <n v="4"/>
  </r>
  <r>
    <s v="L1337"/>
    <x v="3"/>
    <x v="1"/>
    <d v="2025-10-21T00:00:00"/>
    <m/>
    <m/>
    <m/>
    <x v="1"/>
    <x v="4"/>
    <m/>
    <m/>
    <m/>
    <n v="0"/>
    <n v="0"/>
  </r>
  <r>
    <s v="L1338"/>
    <x v="0"/>
    <x v="0"/>
    <d v="2025-10-27T00:00:00"/>
    <d v="2025-10-30T00:00:00"/>
    <d v="2025-11-04T00:00:00"/>
    <d v="2025-11-07T00:00:00"/>
    <x v="0"/>
    <x v="0"/>
    <d v="2025-11-30T00:00:00"/>
    <n v="3"/>
    <n v="3"/>
    <n v="5"/>
    <n v="3"/>
  </r>
  <r>
    <s v="L1339"/>
    <x v="3"/>
    <x v="1"/>
    <d v="2025-10-16T00:00:00"/>
    <m/>
    <m/>
    <m/>
    <x v="1"/>
    <x v="4"/>
    <m/>
    <m/>
    <m/>
    <n v="0"/>
    <n v="0"/>
  </r>
  <r>
    <s v="L1340"/>
    <x v="3"/>
    <x v="0"/>
    <d v="2025-10-03T00:00:00"/>
    <d v="2025-10-04T00:00:00"/>
    <d v="2025-10-05T00:00:00"/>
    <d v="2025-10-09T00:00:00"/>
    <x v="0"/>
    <x v="0"/>
    <d v="2025-10-21T00:00:00"/>
    <n v="10"/>
    <n v="1"/>
    <n v="1"/>
    <n v="4"/>
  </r>
  <r>
    <s v="L1341"/>
    <x v="2"/>
    <x v="0"/>
    <d v="2025-10-16T00:00:00"/>
    <d v="2025-10-21T00:00:00"/>
    <d v="2025-10-22T00:00:00"/>
    <d v="2025-10-24T00:00:00"/>
    <x v="0"/>
    <x v="0"/>
    <d v="2025-11-16T00:00:00"/>
    <n v="1"/>
    <n v="5"/>
    <n v="1"/>
    <n v="2"/>
  </r>
  <r>
    <s v="L1342"/>
    <x v="1"/>
    <x v="0"/>
    <d v="2025-10-12T00:00:00"/>
    <d v="2025-10-16T00:00:00"/>
    <d v="2025-10-20T00:00:00"/>
    <d v="2025-10-27T00:00:00"/>
    <x v="0"/>
    <x v="0"/>
    <d v="2025-11-12T00:00:00"/>
    <n v="4"/>
    <n v="4"/>
    <n v="4"/>
    <n v="7"/>
  </r>
  <r>
    <s v="L1343"/>
    <x v="1"/>
    <x v="0"/>
    <d v="2025-10-14T00:00:00"/>
    <d v="2025-10-17T00:00:00"/>
    <d v="2025-10-20T00:00:00"/>
    <d v="2025-10-24T00:00:00"/>
    <x v="0"/>
    <x v="0"/>
    <d v="2025-11-23T00:00:00"/>
    <n v="8"/>
    <n v="3"/>
    <n v="3"/>
    <n v="4"/>
  </r>
  <r>
    <s v="L1344"/>
    <x v="3"/>
    <x v="0"/>
    <d v="2025-10-11T00:00:00"/>
    <d v="2025-10-14T00:00:00"/>
    <d v="2025-10-15T00:00:00"/>
    <d v="2025-10-19T00:00:00"/>
    <x v="0"/>
    <x v="0"/>
    <d v="2025-11-02T00:00:00"/>
    <n v="3"/>
    <n v="3"/>
    <n v="1"/>
    <n v="4"/>
  </r>
  <r>
    <s v="L1345"/>
    <x v="3"/>
    <x v="0"/>
    <d v="2025-10-11T00:00:00"/>
    <d v="2025-10-16T00:00:00"/>
    <d v="2025-10-21T00:00:00"/>
    <d v="2025-10-23T00:00:00"/>
    <x v="0"/>
    <x v="0"/>
    <d v="2025-11-21T00:00:00"/>
    <n v="6"/>
    <n v="5"/>
    <n v="5"/>
    <n v="2"/>
  </r>
  <r>
    <s v="L1346"/>
    <x v="2"/>
    <x v="0"/>
    <d v="2025-10-22T00:00:00"/>
    <d v="2025-10-24T00:00:00"/>
    <d v="2025-10-25T00:00:00"/>
    <d v="2025-10-29T00:00:00"/>
    <x v="0"/>
    <x v="0"/>
    <d v="2025-11-16T00:00:00"/>
    <n v="4"/>
    <n v="2"/>
    <n v="1"/>
    <n v="4"/>
  </r>
  <r>
    <s v="L1347"/>
    <x v="3"/>
    <x v="2"/>
    <d v="2025-10-04T00:00:00"/>
    <d v="2025-10-07T00:00:00"/>
    <d v="2025-10-08T00:00:00"/>
    <d v="2025-10-15T00:00:00"/>
    <x v="0"/>
    <x v="0"/>
    <d v="2025-11-04T00:00:00"/>
    <n v="8"/>
    <n v="3"/>
    <n v="1"/>
    <n v="7"/>
  </r>
  <r>
    <s v="L1348"/>
    <x v="2"/>
    <x v="0"/>
    <d v="2025-10-28T00:00:00"/>
    <d v="2025-10-29T00:00:00"/>
    <d v="2025-11-02T00:00:00"/>
    <d v="2025-11-09T00:00:00"/>
    <x v="0"/>
    <x v="0"/>
    <d v="2025-11-21T00:00:00"/>
    <n v="4"/>
    <n v="1"/>
    <n v="4"/>
    <n v="7"/>
  </r>
  <r>
    <s v="L1349"/>
    <x v="1"/>
    <x v="0"/>
    <d v="2025-10-06T00:00:00"/>
    <d v="2025-10-11T00:00:00"/>
    <d v="2025-10-12T00:00:00"/>
    <d v="2025-10-15T00:00:00"/>
    <x v="0"/>
    <x v="0"/>
    <d v="2025-10-27T00:00:00"/>
    <n v="6"/>
    <n v="5"/>
    <n v="1"/>
    <n v="3"/>
  </r>
  <r>
    <s v="L1350"/>
    <x v="1"/>
    <x v="0"/>
    <d v="2025-10-11T00:00:00"/>
    <d v="2025-10-13T00:00:00"/>
    <d v="2025-10-16T00:00:00"/>
    <d v="2025-10-18T00:00:00"/>
    <x v="1"/>
    <x v="1"/>
    <m/>
    <m/>
    <n v="2"/>
    <n v="3"/>
    <n v="2"/>
  </r>
  <r>
    <s v="L1351"/>
    <x v="0"/>
    <x v="0"/>
    <d v="2025-10-14T00:00:00"/>
    <d v="2025-10-17T00:00:00"/>
    <d v="2025-10-21T00:00:00"/>
    <d v="2025-10-26T00:00:00"/>
    <x v="1"/>
    <x v="3"/>
    <m/>
    <m/>
    <n v="3"/>
    <n v="4"/>
    <n v="5"/>
  </r>
  <r>
    <s v="L1352"/>
    <x v="1"/>
    <x v="0"/>
    <d v="2025-10-23T00:00:00"/>
    <d v="2025-10-26T00:00:00"/>
    <d v="2025-10-28T00:00:00"/>
    <d v="2025-11-04T00:00:00"/>
    <x v="0"/>
    <x v="0"/>
    <d v="2025-11-26T00:00:00"/>
    <n v="5"/>
    <n v="3"/>
    <n v="2"/>
    <n v="7"/>
  </r>
  <r>
    <s v="L1353"/>
    <x v="3"/>
    <x v="1"/>
    <d v="2025-10-16T00:00:00"/>
    <m/>
    <m/>
    <m/>
    <x v="1"/>
    <x v="2"/>
    <m/>
    <m/>
    <m/>
    <n v="0"/>
    <n v="0"/>
  </r>
  <r>
    <s v="L1354"/>
    <x v="1"/>
    <x v="2"/>
    <d v="2025-10-10T00:00:00"/>
    <d v="2025-10-14T00:00:00"/>
    <d v="2025-10-16T00:00:00"/>
    <d v="2025-10-20T00:00:00"/>
    <x v="0"/>
    <x v="0"/>
    <d v="2025-11-16T00:00:00"/>
    <n v="2"/>
    <n v="4"/>
    <n v="2"/>
    <n v="4"/>
  </r>
  <r>
    <s v="L1355"/>
    <x v="2"/>
    <x v="0"/>
    <d v="2025-10-22T00:00:00"/>
    <d v="2025-10-24T00:00:00"/>
    <d v="2025-10-28T00:00:00"/>
    <d v="2025-11-04T00:00:00"/>
    <x v="0"/>
    <x v="0"/>
    <d v="2025-11-26T00:00:00"/>
    <n v="3"/>
    <n v="2"/>
    <n v="4"/>
    <n v="7"/>
  </r>
  <r>
    <s v="L1356"/>
    <x v="1"/>
    <x v="0"/>
    <d v="2025-10-31T00:00:00"/>
    <d v="2025-11-05T00:00:00"/>
    <d v="2025-11-08T00:00:00"/>
    <d v="2025-11-15T00:00:00"/>
    <x v="0"/>
    <x v="0"/>
    <d v="2025-12-12T00:00:00"/>
    <n v="10"/>
    <n v="5"/>
    <n v="3"/>
    <n v="7"/>
  </r>
  <r>
    <s v="L1357"/>
    <x v="0"/>
    <x v="0"/>
    <d v="2025-10-13T00:00:00"/>
    <d v="2025-10-14T00:00:00"/>
    <d v="2025-10-18T00:00:00"/>
    <d v="2025-10-21T00:00:00"/>
    <x v="0"/>
    <x v="0"/>
    <d v="2025-11-10T00:00:00"/>
    <n v="3"/>
    <n v="1"/>
    <n v="4"/>
    <n v="3"/>
  </r>
  <r>
    <s v="L1358"/>
    <x v="1"/>
    <x v="1"/>
    <d v="2025-10-27T00:00:00"/>
    <m/>
    <m/>
    <m/>
    <x v="1"/>
    <x v="1"/>
    <m/>
    <m/>
    <m/>
    <n v="0"/>
    <n v="0"/>
  </r>
  <r>
    <s v="L1359"/>
    <x v="2"/>
    <x v="2"/>
    <d v="2025-10-25T00:00:00"/>
    <d v="2025-10-28T00:00:00"/>
    <d v="2025-11-01T00:00:00"/>
    <d v="2025-11-06T00:00:00"/>
    <x v="0"/>
    <x v="0"/>
    <d v="2025-11-24T00:00:00"/>
    <n v="5"/>
    <n v="3"/>
    <n v="4"/>
    <n v="5"/>
  </r>
  <r>
    <s v="L1360"/>
    <x v="2"/>
    <x v="0"/>
    <d v="2025-10-18T00:00:00"/>
    <d v="2025-10-23T00:00:00"/>
    <d v="2025-10-27T00:00:00"/>
    <d v="2025-11-03T00:00:00"/>
    <x v="0"/>
    <x v="0"/>
    <d v="2025-11-29T00:00:00"/>
    <n v="8"/>
    <n v="5"/>
    <n v="4"/>
    <n v="7"/>
  </r>
  <r>
    <s v="L1361"/>
    <x v="3"/>
    <x v="0"/>
    <d v="2025-10-02T00:00:00"/>
    <d v="2025-10-06T00:00:00"/>
    <d v="2025-10-10T00:00:00"/>
    <d v="2025-10-12T00:00:00"/>
    <x v="0"/>
    <x v="0"/>
    <d v="2025-11-05T00:00:00"/>
    <n v="0"/>
    <n v="4"/>
    <n v="4"/>
    <n v="2"/>
  </r>
  <r>
    <s v="L1362"/>
    <x v="1"/>
    <x v="0"/>
    <d v="2025-10-15T00:00:00"/>
    <d v="2025-10-18T00:00:00"/>
    <d v="2025-10-19T00:00:00"/>
    <d v="2025-10-26T00:00:00"/>
    <x v="0"/>
    <x v="0"/>
    <d v="2025-11-05T00:00:00"/>
    <n v="1"/>
    <n v="3"/>
    <n v="1"/>
    <n v="7"/>
  </r>
  <r>
    <s v="L1363"/>
    <x v="2"/>
    <x v="0"/>
    <d v="2025-10-03T00:00:00"/>
    <d v="2025-10-05T00:00:00"/>
    <d v="2025-10-10T00:00:00"/>
    <d v="2025-10-12T00:00:00"/>
    <x v="0"/>
    <x v="0"/>
    <d v="2025-11-10T00:00:00"/>
    <n v="4"/>
    <n v="2"/>
    <n v="5"/>
    <n v="2"/>
  </r>
  <r>
    <s v="L1364"/>
    <x v="0"/>
    <x v="0"/>
    <d v="2025-10-11T00:00:00"/>
    <d v="2025-10-16T00:00:00"/>
    <d v="2025-10-18T00:00:00"/>
    <d v="2025-10-20T00:00:00"/>
    <x v="0"/>
    <x v="0"/>
    <d v="2025-11-17T00:00:00"/>
    <n v="5"/>
    <n v="5"/>
    <n v="2"/>
    <n v="2"/>
  </r>
  <r>
    <s v="L1365"/>
    <x v="3"/>
    <x v="0"/>
    <d v="2025-10-09T00:00:00"/>
    <d v="2025-10-10T00:00:00"/>
    <d v="2025-10-13T00:00:00"/>
    <d v="2025-10-16T00:00:00"/>
    <x v="0"/>
    <x v="0"/>
    <d v="2025-11-11T00:00:00"/>
    <n v="10"/>
    <n v="1"/>
    <n v="3"/>
    <n v="3"/>
  </r>
  <r>
    <s v="L1366"/>
    <x v="0"/>
    <x v="0"/>
    <d v="2025-10-11T00:00:00"/>
    <d v="2025-10-15T00:00:00"/>
    <d v="2025-10-16T00:00:00"/>
    <d v="2025-10-21T00:00:00"/>
    <x v="0"/>
    <x v="0"/>
    <d v="2025-11-13T00:00:00"/>
    <n v="3"/>
    <n v="4"/>
    <n v="1"/>
    <n v="5"/>
  </r>
  <r>
    <s v="L1367"/>
    <x v="1"/>
    <x v="2"/>
    <d v="2025-10-04T00:00:00"/>
    <d v="2025-10-09T00:00:00"/>
    <d v="2025-10-11T00:00:00"/>
    <d v="2025-10-13T00:00:00"/>
    <x v="1"/>
    <x v="2"/>
    <m/>
    <m/>
    <n v="5"/>
    <n v="2"/>
    <n v="2"/>
  </r>
  <r>
    <s v="L1368"/>
    <x v="1"/>
    <x v="0"/>
    <d v="2025-10-25T00:00:00"/>
    <d v="2025-10-28T00:00:00"/>
    <d v="2025-11-02T00:00:00"/>
    <d v="2025-11-05T00:00:00"/>
    <x v="0"/>
    <x v="0"/>
    <d v="2025-11-18T00:00:00"/>
    <n v="10"/>
    <n v="3"/>
    <n v="5"/>
    <n v="3"/>
  </r>
  <r>
    <s v="L1369"/>
    <x v="1"/>
    <x v="2"/>
    <d v="2025-10-13T00:00:00"/>
    <d v="2025-10-14T00:00:00"/>
    <d v="2025-10-18T00:00:00"/>
    <d v="2025-10-24T00:00:00"/>
    <x v="0"/>
    <x v="0"/>
    <d v="2025-11-16T00:00:00"/>
    <n v="4"/>
    <n v="1"/>
    <n v="4"/>
    <n v="6"/>
  </r>
  <r>
    <s v="L1370"/>
    <x v="3"/>
    <x v="0"/>
    <d v="2025-10-28T00:00:00"/>
    <d v="2025-10-31T00:00:00"/>
    <d v="2025-11-05T00:00:00"/>
    <d v="2025-11-08T00:00:00"/>
    <x v="0"/>
    <x v="0"/>
    <d v="2025-11-22T00:00:00"/>
    <n v="7"/>
    <n v="3"/>
    <n v="5"/>
    <n v="3"/>
  </r>
  <r>
    <s v="L1371"/>
    <x v="2"/>
    <x v="0"/>
    <d v="2025-10-17T00:00:00"/>
    <d v="2025-10-20T00:00:00"/>
    <d v="2025-10-22T00:00:00"/>
    <d v="2025-10-28T00:00:00"/>
    <x v="0"/>
    <x v="0"/>
    <d v="2025-11-11T00:00:00"/>
    <n v="1"/>
    <n v="3"/>
    <n v="2"/>
    <n v="6"/>
  </r>
  <r>
    <s v="L1372"/>
    <x v="3"/>
    <x v="0"/>
    <d v="2025-10-27T00:00:00"/>
    <d v="2025-10-29T00:00:00"/>
    <d v="2025-10-31T00:00:00"/>
    <d v="2025-11-07T00:00:00"/>
    <x v="0"/>
    <x v="0"/>
    <d v="2025-12-05T00:00:00"/>
    <n v="5"/>
    <n v="2"/>
    <n v="2"/>
    <n v="7"/>
  </r>
  <r>
    <s v="L1373"/>
    <x v="0"/>
    <x v="0"/>
    <d v="2025-10-01T00:00:00"/>
    <d v="2025-10-03T00:00:00"/>
    <d v="2025-10-04T00:00:00"/>
    <d v="2025-10-09T00:00:00"/>
    <x v="0"/>
    <x v="0"/>
    <d v="2025-11-06T00:00:00"/>
    <n v="2"/>
    <n v="2"/>
    <n v="1"/>
    <n v="5"/>
  </r>
  <r>
    <s v="L1374"/>
    <x v="3"/>
    <x v="2"/>
    <d v="2025-10-22T00:00:00"/>
    <d v="2025-10-25T00:00:00"/>
    <d v="2025-10-26T00:00:00"/>
    <d v="2025-10-28T00:00:00"/>
    <x v="0"/>
    <x v="0"/>
    <d v="2025-11-25T00:00:00"/>
    <n v="9"/>
    <n v="3"/>
    <n v="1"/>
    <n v="2"/>
  </r>
  <r>
    <s v="L1375"/>
    <x v="0"/>
    <x v="0"/>
    <d v="2025-10-28T00:00:00"/>
    <d v="2025-11-01T00:00:00"/>
    <d v="2025-11-04T00:00:00"/>
    <d v="2025-11-06T00:00:00"/>
    <x v="1"/>
    <x v="3"/>
    <m/>
    <m/>
    <n v="4"/>
    <n v="3"/>
    <n v="2"/>
  </r>
  <r>
    <s v="L1376"/>
    <x v="3"/>
    <x v="0"/>
    <d v="2025-10-18T00:00:00"/>
    <d v="2025-10-20T00:00:00"/>
    <d v="2025-10-24T00:00:00"/>
    <d v="2025-10-31T00:00:00"/>
    <x v="0"/>
    <x v="0"/>
    <d v="2025-11-13T00:00:00"/>
    <n v="3"/>
    <n v="2"/>
    <n v="4"/>
    <n v="7"/>
  </r>
  <r>
    <s v="L1377"/>
    <x v="2"/>
    <x v="0"/>
    <d v="2025-10-15T00:00:00"/>
    <d v="2025-10-17T00:00:00"/>
    <d v="2025-10-22T00:00:00"/>
    <d v="2025-10-26T00:00:00"/>
    <x v="0"/>
    <x v="0"/>
    <d v="2025-11-08T00:00:00"/>
    <n v="9"/>
    <n v="2"/>
    <n v="5"/>
    <n v="4"/>
  </r>
  <r>
    <s v="L1378"/>
    <x v="0"/>
    <x v="1"/>
    <d v="2025-10-14T00:00:00"/>
    <m/>
    <m/>
    <m/>
    <x v="1"/>
    <x v="4"/>
    <m/>
    <m/>
    <m/>
    <n v="0"/>
    <n v="0"/>
  </r>
  <r>
    <s v="L1379"/>
    <x v="1"/>
    <x v="2"/>
    <d v="2025-10-02T00:00:00"/>
    <d v="2025-10-04T00:00:00"/>
    <d v="2025-10-08T00:00:00"/>
    <d v="2025-10-10T00:00:00"/>
    <x v="0"/>
    <x v="0"/>
    <d v="2025-11-07T00:00:00"/>
    <n v="10"/>
    <n v="2"/>
    <n v="4"/>
    <n v="2"/>
  </r>
  <r>
    <s v="L1380"/>
    <x v="1"/>
    <x v="0"/>
    <d v="2025-10-07T00:00:00"/>
    <d v="2025-10-09T00:00:00"/>
    <d v="2025-10-14T00:00:00"/>
    <d v="2025-10-19T00:00:00"/>
    <x v="0"/>
    <x v="0"/>
    <d v="2025-11-01T00:00:00"/>
    <n v="1"/>
    <n v="2"/>
    <n v="5"/>
    <n v="5"/>
  </r>
  <r>
    <s v="L1381"/>
    <x v="3"/>
    <x v="0"/>
    <d v="2025-10-17T00:00:00"/>
    <d v="2025-10-18T00:00:00"/>
    <d v="2025-10-22T00:00:00"/>
    <d v="2025-10-29T00:00:00"/>
    <x v="0"/>
    <x v="0"/>
    <d v="2025-11-17T00:00:00"/>
    <n v="8"/>
    <n v="1"/>
    <n v="4"/>
    <n v="7"/>
  </r>
  <r>
    <s v="L1382"/>
    <x v="1"/>
    <x v="0"/>
    <d v="2025-10-12T00:00:00"/>
    <d v="2025-10-15T00:00:00"/>
    <d v="2025-10-17T00:00:00"/>
    <d v="2025-10-20T00:00:00"/>
    <x v="0"/>
    <x v="0"/>
    <d v="2025-11-16T00:00:00"/>
    <n v="4"/>
    <n v="3"/>
    <n v="2"/>
    <n v="3"/>
  </r>
  <r>
    <s v="L1383"/>
    <x v="0"/>
    <x v="2"/>
    <d v="2025-10-20T00:00:00"/>
    <d v="2025-10-21T00:00:00"/>
    <d v="2025-10-23T00:00:00"/>
    <d v="2025-10-28T00:00:00"/>
    <x v="0"/>
    <x v="0"/>
    <d v="2025-11-18T00:00:00"/>
    <n v="9"/>
    <n v="1"/>
    <n v="2"/>
    <n v="5"/>
  </r>
  <r>
    <s v="L1384"/>
    <x v="1"/>
    <x v="2"/>
    <d v="2025-10-25T00:00:00"/>
    <d v="2025-10-30T00:00:00"/>
    <d v="2025-11-03T00:00:00"/>
    <d v="2025-11-05T00:00:00"/>
    <x v="1"/>
    <x v="2"/>
    <m/>
    <m/>
    <n v="5"/>
    <n v="4"/>
    <n v="2"/>
  </r>
  <r>
    <s v="L1385"/>
    <x v="2"/>
    <x v="1"/>
    <d v="2025-10-16T00:00:00"/>
    <m/>
    <m/>
    <m/>
    <x v="1"/>
    <x v="5"/>
    <m/>
    <m/>
    <m/>
    <n v="0"/>
    <n v="0"/>
  </r>
  <r>
    <s v="L1386"/>
    <x v="2"/>
    <x v="0"/>
    <d v="2025-10-21T00:00:00"/>
    <d v="2025-10-26T00:00:00"/>
    <d v="2025-10-29T00:00:00"/>
    <d v="2025-11-01T00:00:00"/>
    <x v="0"/>
    <x v="0"/>
    <d v="2025-11-24T00:00:00"/>
    <n v="5"/>
    <n v="5"/>
    <n v="3"/>
    <n v="3"/>
  </r>
  <r>
    <s v="L1387"/>
    <x v="3"/>
    <x v="0"/>
    <d v="2025-10-15T00:00:00"/>
    <d v="2025-10-20T00:00:00"/>
    <d v="2025-10-22T00:00:00"/>
    <d v="2025-10-27T00:00:00"/>
    <x v="1"/>
    <x v="5"/>
    <m/>
    <m/>
    <n v="5"/>
    <n v="2"/>
    <n v="5"/>
  </r>
  <r>
    <s v="L1388"/>
    <x v="0"/>
    <x v="0"/>
    <d v="2025-10-25T00:00:00"/>
    <d v="2025-10-26T00:00:00"/>
    <d v="2025-10-29T00:00:00"/>
    <d v="2025-10-31T00:00:00"/>
    <x v="0"/>
    <x v="0"/>
    <d v="2025-11-18T00:00:00"/>
    <n v="3"/>
    <n v="1"/>
    <n v="3"/>
    <n v="2"/>
  </r>
  <r>
    <s v="L1389"/>
    <x v="2"/>
    <x v="0"/>
    <d v="2025-10-02T00:00:00"/>
    <d v="2025-10-05T00:00:00"/>
    <d v="2025-10-07T00:00:00"/>
    <d v="2025-10-14T00:00:00"/>
    <x v="0"/>
    <x v="0"/>
    <d v="2025-11-05T00:00:00"/>
    <n v="6"/>
    <n v="3"/>
    <n v="2"/>
    <n v="7"/>
  </r>
  <r>
    <s v="L1390"/>
    <x v="2"/>
    <x v="2"/>
    <d v="2025-10-07T00:00:00"/>
    <d v="2025-10-12T00:00:00"/>
    <d v="2025-10-13T00:00:00"/>
    <d v="2025-10-15T00:00:00"/>
    <x v="0"/>
    <x v="0"/>
    <d v="2025-11-14T00:00:00"/>
    <n v="1"/>
    <n v="5"/>
    <n v="1"/>
    <n v="2"/>
  </r>
  <r>
    <s v="L1391"/>
    <x v="0"/>
    <x v="0"/>
    <d v="2025-10-09T00:00:00"/>
    <d v="2025-10-11T00:00:00"/>
    <d v="2025-10-12T00:00:00"/>
    <d v="2025-10-14T00:00:00"/>
    <x v="0"/>
    <x v="0"/>
    <d v="2025-11-08T00:00:00"/>
    <n v="4"/>
    <n v="2"/>
    <n v="1"/>
    <n v="2"/>
  </r>
  <r>
    <s v="L1392"/>
    <x v="1"/>
    <x v="0"/>
    <d v="2025-10-18T00:00:00"/>
    <d v="2025-10-23T00:00:00"/>
    <d v="2025-10-27T00:00:00"/>
    <d v="2025-10-31T00:00:00"/>
    <x v="0"/>
    <x v="0"/>
    <d v="2025-11-28T00:00:00"/>
    <n v="6"/>
    <n v="5"/>
    <n v="4"/>
    <n v="4"/>
  </r>
  <r>
    <s v="L1393"/>
    <x v="1"/>
    <x v="1"/>
    <d v="2025-10-05T00:00:00"/>
    <m/>
    <m/>
    <m/>
    <x v="1"/>
    <x v="1"/>
    <m/>
    <m/>
    <m/>
    <n v="0"/>
    <n v="0"/>
  </r>
  <r>
    <s v="L1394"/>
    <x v="3"/>
    <x v="2"/>
    <d v="2025-10-30T00:00:00"/>
    <d v="2025-11-03T00:00:00"/>
    <d v="2025-11-08T00:00:00"/>
    <d v="2025-11-12T00:00:00"/>
    <x v="0"/>
    <x v="0"/>
    <d v="2025-12-11T00:00:00"/>
    <n v="2"/>
    <n v="4"/>
    <n v="5"/>
    <n v="4"/>
  </r>
  <r>
    <s v="L1395"/>
    <x v="1"/>
    <x v="0"/>
    <d v="2025-10-10T00:00:00"/>
    <d v="2025-10-12T00:00:00"/>
    <d v="2025-10-13T00:00:00"/>
    <d v="2025-10-17T00:00:00"/>
    <x v="0"/>
    <x v="0"/>
    <d v="2025-11-11T00:00:00"/>
    <n v="8"/>
    <n v="2"/>
    <n v="1"/>
    <n v="4"/>
  </r>
  <r>
    <s v="L1396"/>
    <x v="0"/>
    <x v="0"/>
    <d v="2025-10-15T00:00:00"/>
    <d v="2025-10-17T00:00:00"/>
    <d v="2025-10-19T00:00:00"/>
    <d v="2025-10-22T00:00:00"/>
    <x v="0"/>
    <x v="0"/>
    <d v="2025-11-02T00:00:00"/>
    <n v="6"/>
    <n v="2"/>
    <n v="2"/>
    <n v="3"/>
  </r>
  <r>
    <s v="L1397"/>
    <x v="2"/>
    <x v="0"/>
    <d v="2025-10-29T00:00:00"/>
    <d v="2025-10-31T00:00:00"/>
    <d v="2025-11-02T00:00:00"/>
    <d v="2025-11-07T00:00:00"/>
    <x v="0"/>
    <x v="0"/>
    <d v="2025-11-22T00:00:00"/>
    <n v="2"/>
    <n v="2"/>
    <n v="2"/>
    <n v="5"/>
  </r>
  <r>
    <s v="L1398"/>
    <x v="1"/>
    <x v="0"/>
    <d v="2025-10-23T00:00:00"/>
    <d v="2025-10-28T00:00:00"/>
    <d v="2025-10-29T00:00:00"/>
    <d v="2025-11-01T00:00:00"/>
    <x v="0"/>
    <x v="0"/>
    <d v="2025-11-19T00:00:00"/>
    <n v="6"/>
    <n v="5"/>
    <n v="1"/>
    <n v="3"/>
  </r>
  <r>
    <s v="L1399"/>
    <x v="3"/>
    <x v="0"/>
    <d v="2025-10-16T00:00:00"/>
    <d v="2025-10-18T00:00:00"/>
    <d v="2025-10-19T00:00:00"/>
    <d v="2025-10-26T00:00:00"/>
    <x v="0"/>
    <x v="0"/>
    <d v="2025-11-17T00:00:00"/>
    <n v="7"/>
    <n v="2"/>
    <n v="1"/>
    <n v="7"/>
  </r>
  <r>
    <s v="L1400"/>
    <x v="1"/>
    <x v="0"/>
    <d v="2025-10-04T00:00:00"/>
    <d v="2025-10-08T00:00:00"/>
    <d v="2025-10-13T00:00:00"/>
    <d v="2025-10-20T00:00:00"/>
    <x v="0"/>
    <x v="0"/>
    <d v="2025-11-03T00:00:00"/>
    <n v="1"/>
    <n v="4"/>
    <n v="5"/>
    <n v="7"/>
  </r>
  <r>
    <s v="L1401"/>
    <x v="0"/>
    <x v="0"/>
    <d v="2025-10-01T00:00:00"/>
    <d v="2025-10-02T00:00:00"/>
    <d v="2025-10-03T00:00:00"/>
    <d v="2025-10-06T00:00:00"/>
    <x v="0"/>
    <x v="0"/>
    <d v="2025-11-04T00:00:00"/>
    <n v="8"/>
    <n v="1"/>
    <n v="1"/>
    <n v="3"/>
  </r>
  <r>
    <s v="L1402"/>
    <x v="3"/>
    <x v="0"/>
    <d v="2025-10-21T00:00:00"/>
    <d v="2025-10-25T00:00:00"/>
    <d v="2025-10-29T00:00:00"/>
    <d v="2025-10-31T00:00:00"/>
    <x v="0"/>
    <x v="0"/>
    <d v="2025-11-29T00:00:00"/>
    <n v="7"/>
    <n v="4"/>
    <n v="4"/>
    <n v="2"/>
  </r>
  <r>
    <s v="L1403"/>
    <x v="1"/>
    <x v="1"/>
    <d v="2025-10-20T00:00:00"/>
    <m/>
    <m/>
    <m/>
    <x v="1"/>
    <x v="3"/>
    <m/>
    <m/>
    <m/>
    <n v="0"/>
    <n v="0"/>
  </r>
  <r>
    <s v="L1404"/>
    <x v="3"/>
    <x v="0"/>
    <d v="2025-10-26T00:00:00"/>
    <d v="2025-10-29T00:00:00"/>
    <d v="2025-11-03T00:00:00"/>
    <d v="2025-11-09T00:00:00"/>
    <x v="1"/>
    <x v="1"/>
    <m/>
    <m/>
    <n v="3"/>
    <n v="5"/>
    <n v="6"/>
  </r>
  <r>
    <s v="L1405"/>
    <x v="0"/>
    <x v="0"/>
    <d v="2025-10-08T00:00:00"/>
    <d v="2025-10-10T00:00:00"/>
    <d v="2025-10-11T00:00:00"/>
    <d v="2025-10-17T00:00:00"/>
    <x v="0"/>
    <x v="0"/>
    <d v="2025-11-08T00:00:00"/>
    <n v="7"/>
    <n v="2"/>
    <n v="1"/>
    <n v="6"/>
  </r>
  <r>
    <s v="L1406"/>
    <x v="2"/>
    <x v="2"/>
    <d v="2025-10-23T00:00:00"/>
    <d v="2025-10-27T00:00:00"/>
    <d v="2025-10-29T00:00:00"/>
    <d v="2025-10-31T00:00:00"/>
    <x v="0"/>
    <x v="0"/>
    <d v="2025-11-11T00:00:00"/>
    <n v="7"/>
    <n v="4"/>
    <n v="2"/>
    <n v="2"/>
  </r>
  <r>
    <s v="L1407"/>
    <x v="0"/>
    <x v="1"/>
    <d v="2025-10-06T00:00:00"/>
    <m/>
    <m/>
    <m/>
    <x v="1"/>
    <x v="1"/>
    <m/>
    <m/>
    <m/>
    <n v="0"/>
    <n v="0"/>
  </r>
  <r>
    <s v="L1408"/>
    <x v="0"/>
    <x v="2"/>
    <d v="2025-10-10T00:00:00"/>
    <d v="2025-10-15T00:00:00"/>
    <d v="2025-10-16T00:00:00"/>
    <d v="2025-10-22T00:00:00"/>
    <x v="1"/>
    <x v="1"/>
    <m/>
    <m/>
    <n v="5"/>
    <n v="1"/>
    <n v="6"/>
  </r>
  <r>
    <s v="L1409"/>
    <x v="0"/>
    <x v="2"/>
    <d v="2025-10-18T00:00:00"/>
    <d v="2025-10-21T00:00:00"/>
    <d v="2025-10-25T00:00:00"/>
    <d v="2025-11-01T00:00:00"/>
    <x v="0"/>
    <x v="0"/>
    <d v="2025-11-23T00:00:00"/>
    <n v="1"/>
    <n v="3"/>
    <n v="4"/>
    <n v="7"/>
  </r>
  <r>
    <s v="L1410"/>
    <x v="0"/>
    <x v="2"/>
    <d v="2025-10-01T00:00:00"/>
    <d v="2025-10-05T00:00:00"/>
    <d v="2025-10-09T00:00:00"/>
    <d v="2025-10-12T00:00:00"/>
    <x v="0"/>
    <x v="0"/>
    <d v="2025-11-01T00:00:00"/>
    <n v="1"/>
    <n v="4"/>
    <n v="4"/>
    <n v="3"/>
  </r>
  <r>
    <s v="L1411"/>
    <x v="2"/>
    <x v="0"/>
    <d v="2025-10-18T00:00:00"/>
    <d v="2025-10-20T00:00:00"/>
    <d v="2025-10-22T00:00:00"/>
    <d v="2025-10-27T00:00:00"/>
    <x v="0"/>
    <x v="0"/>
    <d v="2025-11-13T00:00:00"/>
    <n v="10"/>
    <n v="2"/>
    <n v="2"/>
    <n v="5"/>
  </r>
  <r>
    <s v="L1412"/>
    <x v="2"/>
    <x v="2"/>
    <d v="2025-10-14T00:00:00"/>
    <d v="2025-10-19T00:00:00"/>
    <d v="2025-10-24T00:00:00"/>
    <d v="2025-10-28T00:00:00"/>
    <x v="0"/>
    <x v="0"/>
    <d v="2025-11-08T00:00:00"/>
    <n v="7"/>
    <n v="5"/>
    <n v="5"/>
    <n v="4"/>
  </r>
  <r>
    <s v="L1413"/>
    <x v="3"/>
    <x v="2"/>
    <d v="2025-10-03T00:00:00"/>
    <d v="2025-10-05T00:00:00"/>
    <d v="2025-10-07T00:00:00"/>
    <d v="2025-10-14T00:00:00"/>
    <x v="0"/>
    <x v="0"/>
    <d v="2025-11-08T00:00:00"/>
    <n v="3"/>
    <n v="2"/>
    <n v="2"/>
    <n v="7"/>
  </r>
  <r>
    <s v="L1414"/>
    <x v="1"/>
    <x v="2"/>
    <d v="2025-10-08T00:00:00"/>
    <d v="2025-10-11T00:00:00"/>
    <d v="2025-10-12T00:00:00"/>
    <d v="2025-10-15T00:00:00"/>
    <x v="1"/>
    <x v="5"/>
    <m/>
    <m/>
    <n v="3"/>
    <n v="1"/>
    <n v="3"/>
  </r>
  <r>
    <s v="L1415"/>
    <x v="2"/>
    <x v="2"/>
    <d v="2025-10-27T00:00:00"/>
    <d v="2025-10-31T00:00:00"/>
    <d v="2025-11-02T00:00:00"/>
    <d v="2025-11-09T00:00:00"/>
    <x v="0"/>
    <x v="0"/>
    <d v="2025-11-27T00:00:00"/>
    <n v="0"/>
    <n v="4"/>
    <n v="2"/>
    <n v="7"/>
  </r>
  <r>
    <s v="L1416"/>
    <x v="2"/>
    <x v="0"/>
    <d v="2025-10-30T00:00:00"/>
    <d v="2025-11-01T00:00:00"/>
    <d v="2025-11-06T00:00:00"/>
    <d v="2025-11-13T00:00:00"/>
    <x v="0"/>
    <x v="0"/>
    <d v="2025-12-04T00:00:00"/>
    <n v="4"/>
    <n v="2"/>
    <n v="5"/>
    <n v="7"/>
  </r>
  <r>
    <s v="L1417"/>
    <x v="1"/>
    <x v="0"/>
    <d v="2025-10-04T00:00:00"/>
    <d v="2025-10-07T00:00:00"/>
    <d v="2025-10-10T00:00:00"/>
    <d v="2025-10-13T00:00:00"/>
    <x v="0"/>
    <x v="0"/>
    <d v="2025-10-23T00:00:00"/>
    <n v="10"/>
    <n v="3"/>
    <n v="3"/>
    <n v="3"/>
  </r>
  <r>
    <s v="L1418"/>
    <x v="2"/>
    <x v="0"/>
    <d v="2025-10-15T00:00:00"/>
    <d v="2025-10-20T00:00:00"/>
    <d v="2025-10-22T00:00:00"/>
    <d v="2025-10-27T00:00:00"/>
    <x v="0"/>
    <x v="0"/>
    <d v="2025-11-16T00:00:00"/>
    <n v="9"/>
    <n v="5"/>
    <n v="2"/>
    <n v="5"/>
  </r>
  <r>
    <s v="L1419"/>
    <x v="0"/>
    <x v="0"/>
    <d v="2025-10-31T00:00:00"/>
    <d v="2025-11-04T00:00:00"/>
    <d v="2025-11-09T00:00:00"/>
    <d v="2025-11-15T00:00:00"/>
    <x v="0"/>
    <x v="0"/>
    <d v="2025-12-04T00:00:00"/>
    <n v="5"/>
    <n v="4"/>
    <n v="5"/>
    <n v="6"/>
  </r>
  <r>
    <s v="L1420"/>
    <x v="0"/>
    <x v="0"/>
    <d v="2025-10-04T00:00:00"/>
    <d v="2025-10-08T00:00:00"/>
    <d v="2025-10-11T00:00:00"/>
    <d v="2025-10-18T00:00:00"/>
    <x v="0"/>
    <x v="0"/>
    <d v="2025-11-06T00:00:00"/>
    <n v="1"/>
    <n v="4"/>
    <n v="3"/>
    <n v="7"/>
  </r>
  <r>
    <s v="L1421"/>
    <x v="1"/>
    <x v="2"/>
    <d v="2025-10-21T00:00:00"/>
    <d v="2025-10-24T00:00:00"/>
    <d v="2025-10-29T00:00:00"/>
    <d v="2025-11-03T00:00:00"/>
    <x v="0"/>
    <x v="0"/>
    <d v="2025-11-21T00:00:00"/>
    <n v="7"/>
    <n v="3"/>
    <n v="5"/>
    <n v="5"/>
  </r>
  <r>
    <s v="L1422"/>
    <x v="3"/>
    <x v="0"/>
    <d v="2025-10-27T00:00:00"/>
    <d v="2025-10-31T00:00:00"/>
    <d v="2025-11-05T00:00:00"/>
    <d v="2025-11-08T00:00:00"/>
    <x v="0"/>
    <x v="0"/>
    <d v="2025-12-03T00:00:00"/>
    <n v="2"/>
    <n v="4"/>
    <n v="5"/>
    <n v="3"/>
  </r>
  <r>
    <s v="L1423"/>
    <x v="3"/>
    <x v="1"/>
    <d v="2025-10-05T00:00:00"/>
    <m/>
    <m/>
    <m/>
    <x v="1"/>
    <x v="5"/>
    <m/>
    <m/>
    <m/>
    <n v="0"/>
    <n v="0"/>
  </r>
  <r>
    <s v="L1424"/>
    <x v="1"/>
    <x v="0"/>
    <d v="2025-10-16T00:00:00"/>
    <d v="2025-10-21T00:00:00"/>
    <d v="2025-10-24T00:00:00"/>
    <d v="2025-10-26T00:00:00"/>
    <x v="0"/>
    <x v="0"/>
    <d v="2025-11-08T00:00:00"/>
    <n v="3"/>
    <n v="5"/>
    <n v="3"/>
    <n v="2"/>
  </r>
  <r>
    <s v="L1425"/>
    <x v="1"/>
    <x v="2"/>
    <d v="2025-10-30T00:00:00"/>
    <d v="2025-11-04T00:00:00"/>
    <d v="2025-11-06T00:00:00"/>
    <d v="2025-11-08T00:00:00"/>
    <x v="0"/>
    <x v="0"/>
    <d v="2025-11-25T00:00:00"/>
    <n v="3"/>
    <n v="5"/>
    <n v="2"/>
    <n v="2"/>
  </r>
  <r>
    <s v="L1426"/>
    <x v="0"/>
    <x v="0"/>
    <d v="2025-10-23T00:00:00"/>
    <d v="2025-10-27T00:00:00"/>
    <d v="2025-10-30T00:00:00"/>
    <d v="2025-11-02T00:00:00"/>
    <x v="0"/>
    <x v="0"/>
    <d v="2025-11-16T00:00:00"/>
    <n v="6"/>
    <n v="4"/>
    <n v="3"/>
    <n v="3"/>
  </r>
  <r>
    <s v="L1427"/>
    <x v="3"/>
    <x v="0"/>
    <d v="2025-10-10T00:00:00"/>
    <d v="2025-10-12T00:00:00"/>
    <d v="2025-10-14T00:00:00"/>
    <d v="2025-10-16T00:00:00"/>
    <x v="0"/>
    <x v="0"/>
    <d v="2025-11-04T00:00:00"/>
    <n v="7"/>
    <n v="2"/>
    <n v="2"/>
    <n v="2"/>
  </r>
  <r>
    <s v="L1428"/>
    <x v="2"/>
    <x v="0"/>
    <d v="2025-10-17T00:00:00"/>
    <d v="2025-10-19T00:00:00"/>
    <d v="2025-10-24T00:00:00"/>
    <d v="2025-10-30T00:00:00"/>
    <x v="0"/>
    <x v="0"/>
    <d v="2025-11-23T00:00:00"/>
    <n v="8"/>
    <n v="2"/>
    <n v="5"/>
    <n v="6"/>
  </r>
  <r>
    <s v="L1429"/>
    <x v="0"/>
    <x v="2"/>
    <d v="2025-10-23T00:00:00"/>
    <d v="2025-10-28T00:00:00"/>
    <d v="2025-10-30T00:00:00"/>
    <d v="2025-11-06T00:00:00"/>
    <x v="0"/>
    <x v="0"/>
    <d v="2025-11-26T00:00:00"/>
    <n v="6"/>
    <n v="5"/>
    <n v="2"/>
    <n v="7"/>
  </r>
  <r>
    <s v="L1430"/>
    <x v="1"/>
    <x v="2"/>
    <d v="2025-10-09T00:00:00"/>
    <d v="2025-10-11T00:00:00"/>
    <d v="2025-10-15T00:00:00"/>
    <d v="2025-10-20T00:00:00"/>
    <x v="0"/>
    <x v="0"/>
    <d v="2025-11-07T00:00:00"/>
    <n v="10"/>
    <n v="2"/>
    <n v="4"/>
    <n v="5"/>
  </r>
  <r>
    <s v="L1431"/>
    <x v="3"/>
    <x v="2"/>
    <d v="2025-10-14T00:00:00"/>
    <d v="2025-10-17T00:00:00"/>
    <d v="2025-10-20T00:00:00"/>
    <d v="2025-10-24T00:00:00"/>
    <x v="0"/>
    <x v="0"/>
    <d v="2025-11-16T00:00:00"/>
    <n v="4"/>
    <n v="3"/>
    <n v="3"/>
    <n v="4"/>
  </r>
  <r>
    <s v="L1432"/>
    <x v="2"/>
    <x v="1"/>
    <d v="2025-10-27T00:00:00"/>
    <m/>
    <m/>
    <m/>
    <x v="1"/>
    <x v="1"/>
    <m/>
    <m/>
    <m/>
    <n v="0"/>
    <n v="0"/>
  </r>
  <r>
    <s v="L1433"/>
    <x v="2"/>
    <x v="0"/>
    <d v="2025-10-16T00:00:00"/>
    <d v="2025-10-17T00:00:00"/>
    <d v="2025-10-20T00:00:00"/>
    <d v="2025-10-25T00:00:00"/>
    <x v="0"/>
    <x v="0"/>
    <d v="2025-11-23T00:00:00"/>
    <n v="1"/>
    <n v="1"/>
    <n v="3"/>
    <n v="5"/>
  </r>
  <r>
    <s v="L1434"/>
    <x v="0"/>
    <x v="2"/>
    <d v="2025-10-16T00:00:00"/>
    <d v="2025-10-20T00:00:00"/>
    <d v="2025-10-21T00:00:00"/>
    <d v="2025-10-25T00:00:00"/>
    <x v="0"/>
    <x v="0"/>
    <d v="2025-11-24T00:00:00"/>
    <n v="3"/>
    <n v="4"/>
    <n v="1"/>
    <n v="4"/>
  </r>
  <r>
    <s v="L1435"/>
    <x v="3"/>
    <x v="2"/>
    <d v="2025-10-08T00:00:00"/>
    <d v="2025-10-11T00:00:00"/>
    <d v="2025-10-16T00:00:00"/>
    <d v="2025-10-19T00:00:00"/>
    <x v="0"/>
    <x v="0"/>
    <d v="2025-10-31T00:00:00"/>
    <n v="7"/>
    <n v="3"/>
    <n v="5"/>
    <n v="3"/>
  </r>
  <r>
    <s v="L1436"/>
    <x v="3"/>
    <x v="0"/>
    <d v="2025-10-15T00:00:00"/>
    <d v="2025-10-20T00:00:00"/>
    <d v="2025-10-25T00:00:00"/>
    <d v="2025-10-28T00:00:00"/>
    <x v="0"/>
    <x v="0"/>
    <d v="2025-11-13T00:00:00"/>
    <n v="3"/>
    <n v="5"/>
    <n v="5"/>
    <n v="3"/>
  </r>
  <r>
    <s v="L1437"/>
    <x v="1"/>
    <x v="2"/>
    <d v="2025-10-18T00:00:00"/>
    <d v="2025-10-19T00:00:00"/>
    <d v="2025-10-21T00:00:00"/>
    <d v="2025-10-25T00:00:00"/>
    <x v="0"/>
    <x v="0"/>
    <d v="2025-11-18T00:00:00"/>
    <n v="8"/>
    <n v="1"/>
    <n v="2"/>
    <n v="4"/>
  </r>
  <r>
    <s v="L1438"/>
    <x v="3"/>
    <x v="2"/>
    <d v="2025-10-05T00:00:00"/>
    <d v="2025-10-10T00:00:00"/>
    <d v="2025-10-14T00:00:00"/>
    <d v="2025-10-21T00:00:00"/>
    <x v="0"/>
    <x v="0"/>
    <d v="2025-11-06T00:00:00"/>
    <n v="7"/>
    <n v="5"/>
    <n v="4"/>
    <n v="7"/>
  </r>
  <r>
    <s v="L1439"/>
    <x v="3"/>
    <x v="1"/>
    <d v="2025-10-13T00:00:00"/>
    <m/>
    <m/>
    <m/>
    <x v="1"/>
    <x v="5"/>
    <m/>
    <m/>
    <m/>
    <n v="0"/>
    <n v="0"/>
  </r>
  <r>
    <s v="L1440"/>
    <x v="0"/>
    <x v="2"/>
    <d v="2025-10-07T00:00:00"/>
    <d v="2025-10-08T00:00:00"/>
    <d v="2025-10-13T00:00:00"/>
    <d v="2025-10-15T00:00:00"/>
    <x v="0"/>
    <x v="0"/>
    <d v="2025-11-07T00:00:00"/>
    <n v="1"/>
    <n v="1"/>
    <n v="5"/>
    <n v="2"/>
  </r>
  <r>
    <s v="L1441"/>
    <x v="3"/>
    <x v="0"/>
    <d v="2025-10-30T00:00:00"/>
    <d v="2025-11-02T00:00:00"/>
    <d v="2025-11-06T00:00:00"/>
    <d v="2025-11-09T00:00:00"/>
    <x v="0"/>
    <x v="0"/>
    <d v="2025-12-04T00:00:00"/>
    <n v="8"/>
    <n v="3"/>
    <n v="4"/>
    <n v="3"/>
  </r>
  <r>
    <s v="L1442"/>
    <x v="2"/>
    <x v="1"/>
    <d v="2025-10-20T00:00:00"/>
    <m/>
    <m/>
    <m/>
    <x v="1"/>
    <x v="3"/>
    <m/>
    <m/>
    <m/>
    <n v="0"/>
    <n v="0"/>
  </r>
  <r>
    <s v="L1443"/>
    <x v="0"/>
    <x v="0"/>
    <d v="2025-10-17T00:00:00"/>
    <d v="2025-10-18T00:00:00"/>
    <d v="2025-10-19T00:00:00"/>
    <d v="2025-10-25T00:00:00"/>
    <x v="0"/>
    <x v="0"/>
    <d v="2025-11-20T00:00:00"/>
    <n v="6"/>
    <n v="1"/>
    <n v="1"/>
    <n v="6"/>
  </r>
  <r>
    <s v="L1444"/>
    <x v="0"/>
    <x v="2"/>
    <d v="2025-10-24T00:00:00"/>
    <d v="2025-10-26T00:00:00"/>
    <d v="2025-10-29T00:00:00"/>
    <d v="2025-11-04T00:00:00"/>
    <x v="1"/>
    <x v="1"/>
    <m/>
    <m/>
    <n v="2"/>
    <n v="3"/>
    <n v="6"/>
  </r>
  <r>
    <s v="L1445"/>
    <x v="1"/>
    <x v="2"/>
    <d v="2025-10-29T00:00:00"/>
    <d v="2025-11-01T00:00:00"/>
    <d v="2025-11-05T00:00:00"/>
    <d v="2025-11-11T00:00:00"/>
    <x v="0"/>
    <x v="0"/>
    <d v="2025-12-02T00:00:00"/>
    <n v="3"/>
    <n v="3"/>
    <n v="4"/>
    <n v="6"/>
  </r>
  <r>
    <s v="L1446"/>
    <x v="3"/>
    <x v="1"/>
    <d v="2025-10-05T00:00:00"/>
    <m/>
    <m/>
    <m/>
    <x v="1"/>
    <x v="5"/>
    <m/>
    <m/>
    <m/>
    <n v="0"/>
    <n v="0"/>
  </r>
  <r>
    <s v="L1447"/>
    <x v="1"/>
    <x v="1"/>
    <d v="2025-10-28T00:00:00"/>
    <m/>
    <m/>
    <m/>
    <x v="1"/>
    <x v="2"/>
    <m/>
    <m/>
    <m/>
    <n v="0"/>
    <n v="0"/>
  </r>
  <r>
    <s v="L1448"/>
    <x v="2"/>
    <x v="0"/>
    <d v="2025-10-03T00:00:00"/>
    <d v="2025-10-07T00:00:00"/>
    <d v="2025-10-12T00:00:00"/>
    <d v="2025-10-19T00:00:00"/>
    <x v="0"/>
    <x v="0"/>
    <d v="2025-10-30T00:00:00"/>
    <n v="3"/>
    <n v="4"/>
    <n v="5"/>
    <n v="7"/>
  </r>
  <r>
    <s v="L1449"/>
    <x v="0"/>
    <x v="2"/>
    <d v="2025-10-09T00:00:00"/>
    <d v="2025-10-14T00:00:00"/>
    <d v="2025-10-17T00:00:00"/>
    <d v="2025-10-23T00:00:00"/>
    <x v="0"/>
    <x v="0"/>
    <d v="2025-11-18T00:00:00"/>
    <n v="3"/>
    <n v="5"/>
    <n v="3"/>
    <n v="6"/>
  </r>
  <r>
    <s v="L1450"/>
    <x v="0"/>
    <x v="0"/>
    <d v="2025-10-25T00:00:00"/>
    <d v="2025-10-27T00:00:00"/>
    <d v="2025-10-31T00:00:00"/>
    <d v="2025-11-04T00:00:00"/>
    <x v="0"/>
    <x v="0"/>
    <d v="2025-11-19T00:00:00"/>
    <n v="0"/>
    <n v="2"/>
    <n v="4"/>
    <n v="4"/>
  </r>
  <r>
    <s v="L1451"/>
    <x v="0"/>
    <x v="1"/>
    <d v="2025-10-26T00:00:00"/>
    <m/>
    <m/>
    <m/>
    <x v="1"/>
    <x v="1"/>
    <m/>
    <m/>
    <m/>
    <n v="0"/>
    <n v="0"/>
  </r>
  <r>
    <s v="L1452"/>
    <x v="2"/>
    <x v="0"/>
    <d v="2025-10-28T00:00:00"/>
    <d v="2025-11-01T00:00:00"/>
    <d v="2025-11-05T00:00:00"/>
    <d v="2025-11-12T00:00:00"/>
    <x v="0"/>
    <x v="0"/>
    <d v="2025-11-24T00:00:00"/>
    <n v="4"/>
    <n v="4"/>
    <n v="4"/>
    <n v="7"/>
  </r>
  <r>
    <s v="L1453"/>
    <x v="2"/>
    <x v="1"/>
    <d v="2025-10-14T00:00:00"/>
    <m/>
    <m/>
    <m/>
    <x v="1"/>
    <x v="1"/>
    <m/>
    <m/>
    <m/>
    <n v="0"/>
    <n v="0"/>
  </r>
  <r>
    <s v="L1454"/>
    <x v="1"/>
    <x v="1"/>
    <d v="2025-10-11T00:00:00"/>
    <m/>
    <m/>
    <m/>
    <x v="1"/>
    <x v="3"/>
    <m/>
    <m/>
    <m/>
    <n v="0"/>
    <n v="0"/>
  </r>
  <r>
    <s v="L1455"/>
    <x v="1"/>
    <x v="0"/>
    <d v="2025-10-30T00:00:00"/>
    <d v="2025-10-31T00:00:00"/>
    <d v="2025-11-02T00:00:00"/>
    <d v="2025-11-04T00:00:00"/>
    <x v="0"/>
    <x v="0"/>
    <d v="2025-11-23T00:00:00"/>
    <n v="9"/>
    <n v="1"/>
    <n v="2"/>
    <n v="2"/>
  </r>
  <r>
    <s v="L1456"/>
    <x v="1"/>
    <x v="0"/>
    <d v="2025-10-26T00:00:00"/>
    <d v="2025-10-28T00:00:00"/>
    <d v="2025-10-31T00:00:00"/>
    <d v="2025-11-07T00:00:00"/>
    <x v="1"/>
    <x v="4"/>
    <m/>
    <m/>
    <n v="2"/>
    <n v="3"/>
    <n v="7"/>
  </r>
  <r>
    <s v="L1457"/>
    <x v="3"/>
    <x v="0"/>
    <d v="2025-10-17T00:00:00"/>
    <d v="2025-10-21T00:00:00"/>
    <d v="2025-10-25T00:00:00"/>
    <d v="2025-10-29T00:00:00"/>
    <x v="0"/>
    <x v="0"/>
    <d v="2025-11-24T00:00:00"/>
    <n v="5"/>
    <n v="4"/>
    <n v="4"/>
    <n v="4"/>
  </r>
  <r>
    <s v="L1458"/>
    <x v="0"/>
    <x v="2"/>
    <d v="2025-10-09T00:00:00"/>
    <d v="2025-10-12T00:00:00"/>
    <d v="2025-10-14T00:00:00"/>
    <d v="2025-10-17T00:00:00"/>
    <x v="0"/>
    <x v="0"/>
    <d v="2025-11-08T00:00:00"/>
    <n v="5"/>
    <n v="3"/>
    <n v="2"/>
    <n v="3"/>
  </r>
  <r>
    <s v="L1459"/>
    <x v="0"/>
    <x v="0"/>
    <d v="2025-10-27T00:00:00"/>
    <d v="2025-10-28T00:00:00"/>
    <d v="2025-11-02T00:00:00"/>
    <d v="2025-11-08T00:00:00"/>
    <x v="0"/>
    <x v="0"/>
    <d v="2025-11-22T00:00:00"/>
    <n v="1"/>
    <n v="1"/>
    <n v="5"/>
    <n v="6"/>
  </r>
  <r>
    <s v="L1460"/>
    <x v="1"/>
    <x v="0"/>
    <d v="2025-10-01T00:00:00"/>
    <d v="2025-10-05T00:00:00"/>
    <d v="2025-10-09T00:00:00"/>
    <d v="2025-10-15T00:00:00"/>
    <x v="1"/>
    <x v="4"/>
    <m/>
    <m/>
    <n v="4"/>
    <n v="4"/>
    <n v="6"/>
  </r>
  <r>
    <s v="L1461"/>
    <x v="0"/>
    <x v="1"/>
    <d v="2025-10-10T00:00:00"/>
    <m/>
    <m/>
    <m/>
    <x v="1"/>
    <x v="3"/>
    <m/>
    <m/>
    <m/>
    <n v="0"/>
    <n v="0"/>
  </r>
  <r>
    <s v="L1462"/>
    <x v="1"/>
    <x v="1"/>
    <d v="2025-10-24T00:00:00"/>
    <m/>
    <m/>
    <m/>
    <x v="1"/>
    <x v="3"/>
    <m/>
    <m/>
    <m/>
    <n v="0"/>
    <n v="0"/>
  </r>
  <r>
    <s v="L1463"/>
    <x v="3"/>
    <x v="0"/>
    <d v="2025-10-10T00:00:00"/>
    <d v="2025-10-11T00:00:00"/>
    <d v="2025-10-13T00:00:00"/>
    <d v="2025-10-19T00:00:00"/>
    <x v="0"/>
    <x v="0"/>
    <d v="2025-11-14T00:00:00"/>
    <n v="1"/>
    <n v="1"/>
    <n v="2"/>
    <n v="6"/>
  </r>
  <r>
    <s v="L1464"/>
    <x v="3"/>
    <x v="2"/>
    <d v="2025-10-27T00:00:00"/>
    <d v="2025-10-31T00:00:00"/>
    <d v="2025-11-02T00:00:00"/>
    <d v="2025-11-05T00:00:00"/>
    <x v="0"/>
    <x v="0"/>
    <d v="2025-12-03T00:00:00"/>
    <n v="4"/>
    <n v="4"/>
    <n v="2"/>
    <n v="3"/>
  </r>
  <r>
    <s v="L1465"/>
    <x v="2"/>
    <x v="2"/>
    <d v="2025-10-19T00:00:00"/>
    <d v="2025-10-24T00:00:00"/>
    <d v="2025-10-27T00:00:00"/>
    <d v="2025-11-03T00:00:00"/>
    <x v="0"/>
    <x v="0"/>
    <d v="2025-11-13T00:00:00"/>
    <n v="4"/>
    <n v="5"/>
    <n v="3"/>
    <n v="7"/>
  </r>
  <r>
    <s v="L1466"/>
    <x v="3"/>
    <x v="2"/>
    <d v="2025-10-19T00:00:00"/>
    <d v="2025-10-22T00:00:00"/>
    <d v="2025-10-24T00:00:00"/>
    <d v="2025-10-29T00:00:00"/>
    <x v="0"/>
    <x v="0"/>
    <d v="2025-11-13T00:00:00"/>
    <n v="1"/>
    <n v="3"/>
    <n v="2"/>
    <n v="5"/>
  </r>
  <r>
    <s v="L1467"/>
    <x v="1"/>
    <x v="0"/>
    <d v="2025-10-22T00:00:00"/>
    <d v="2025-10-24T00:00:00"/>
    <d v="2025-10-28T00:00:00"/>
    <d v="2025-11-01T00:00:00"/>
    <x v="0"/>
    <x v="0"/>
    <d v="2025-11-17T00:00:00"/>
    <n v="1"/>
    <n v="2"/>
    <n v="4"/>
    <n v="4"/>
  </r>
  <r>
    <s v="L1468"/>
    <x v="3"/>
    <x v="0"/>
    <d v="2025-10-16T00:00:00"/>
    <d v="2025-10-20T00:00:00"/>
    <d v="2025-10-21T00:00:00"/>
    <d v="2025-10-28T00:00:00"/>
    <x v="0"/>
    <x v="0"/>
    <d v="2025-11-13T00:00:00"/>
    <n v="0"/>
    <n v="4"/>
    <n v="1"/>
    <n v="7"/>
  </r>
  <r>
    <s v="L1469"/>
    <x v="2"/>
    <x v="1"/>
    <d v="2025-10-28T00:00:00"/>
    <m/>
    <m/>
    <m/>
    <x v="1"/>
    <x v="3"/>
    <m/>
    <m/>
    <m/>
    <n v="0"/>
    <n v="0"/>
  </r>
  <r>
    <s v="L1470"/>
    <x v="0"/>
    <x v="0"/>
    <d v="2025-10-05T00:00:00"/>
    <d v="2025-10-06T00:00:00"/>
    <d v="2025-10-11T00:00:00"/>
    <d v="2025-10-13T00:00:00"/>
    <x v="0"/>
    <x v="0"/>
    <d v="2025-10-24T00:00:00"/>
    <n v="7"/>
    <n v="1"/>
    <n v="5"/>
    <n v="2"/>
  </r>
  <r>
    <s v="L1471"/>
    <x v="1"/>
    <x v="1"/>
    <d v="2025-10-15T00:00:00"/>
    <m/>
    <m/>
    <m/>
    <x v="1"/>
    <x v="4"/>
    <m/>
    <m/>
    <m/>
    <n v="0"/>
    <n v="0"/>
  </r>
  <r>
    <s v="L1472"/>
    <x v="0"/>
    <x v="1"/>
    <d v="2025-10-18T00:00:00"/>
    <m/>
    <m/>
    <m/>
    <x v="1"/>
    <x v="3"/>
    <m/>
    <m/>
    <m/>
    <n v="0"/>
    <n v="0"/>
  </r>
  <r>
    <s v="L1473"/>
    <x v="2"/>
    <x v="0"/>
    <d v="2025-10-16T00:00:00"/>
    <d v="2025-10-19T00:00:00"/>
    <d v="2025-10-23T00:00:00"/>
    <d v="2025-10-26T00:00:00"/>
    <x v="0"/>
    <x v="0"/>
    <d v="2025-11-12T00:00:00"/>
    <n v="8"/>
    <n v="3"/>
    <n v="4"/>
    <n v="3"/>
  </r>
  <r>
    <s v="L1474"/>
    <x v="2"/>
    <x v="1"/>
    <d v="2025-10-12T00:00:00"/>
    <m/>
    <m/>
    <m/>
    <x v="1"/>
    <x v="5"/>
    <m/>
    <m/>
    <m/>
    <n v="0"/>
    <n v="0"/>
  </r>
  <r>
    <s v="L1475"/>
    <x v="2"/>
    <x v="0"/>
    <d v="2025-10-11T00:00:00"/>
    <d v="2025-10-13T00:00:00"/>
    <d v="2025-10-17T00:00:00"/>
    <d v="2025-10-22T00:00:00"/>
    <x v="1"/>
    <x v="1"/>
    <m/>
    <m/>
    <n v="2"/>
    <n v="4"/>
    <n v="5"/>
  </r>
  <r>
    <s v="L1476"/>
    <x v="0"/>
    <x v="2"/>
    <d v="2025-10-18T00:00:00"/>
    <d v="2025-10-19T00:00:00"/>
    <d v="2025-10-24T00:00:00"/>
    <d v="2025-10-29T00:00:00"/>
    <x v="0"/>
    <x v="0"/>
    <d v="2025-11-09T00:00:00"/>
    <n v="2"/>
    <n v="1"/>
    <n v="5"/>
    <n v="5"/>
  </r>
  <r>
    <s v="L1477"/>
    <x v="0"/>
    <x v="0"/>
    <d v="2025-10-25T00:00:00"/>
    <d v="2025-10-28T00:00:00"/>
    <d v="2025-11-02T00:00:00"/>
    <d v="2025-11-04T00:00:00"/>
    <x v="1"/>
    <x v="1"/>
    <m/>
    <m/>
    <n v="3"/>
    <n v="5"/>
    <n v="2"/>
  </r>
  <r>
    <s v="L1478"/>
    <x v="0"/>
    <x v="0"/>
    <d v="2025-10-18T00:00:00"/>
    <d v="2025-10-19T00:00:00"/>
    <d v="2025-10-21T00:00:00"/>
    <d v="2025-10-24T00:00:00"/>
    <x v="0"/>
    <x v="0"/>
    <d v="2025-11-17T00:00:00"/>
    <n v="7"/>
    <n v="1"/>
    <n v="2"/>
    <n v="3"/>
  </r>
  <r>
    <s v="L1479"/>
    <x v="0"/>
    <x v="0"/>
    <d v="2025-10-13T00:00:00"/>
    <d v="2025-10-16T00:00:00"/>
    <d v="2025-10-20T00:00:00"/>
    <d v="2025-10-25T00:00:00"/>
    <x v="1"/>
    <x v="2"/>
    <m/>
    <m/>
    <n v="3"/>
    <n v="4"/>
    <n v="5"/>
  </r>
  <r>
    <s v="L1480"/>
    <x v="2"/>
    <x v="0"/>
    <d v="2025-10-15T00:00:00"/>
    <d v="2025-10-17T00:00:00"/>
    <d v="2025-10-19T00:00:00"/>
    <d v="2025-10-26T00:00:00"/>
    <x v="0"/>
    <x v="0"/>
    <d v="2025-11-06T00:00:00"/>
    <n v="2"/>
    <n v="2"/>
    <n v="2"/>
    <n v="7"/>
  </r>
  <r>
    <s v="L1481"/>
    <x v="2"/>
    <x v="0"/>
    <d v="2025-10-30T00:00:00"/>
    <d v="2025-11-01T00:00:00"/>
    <d v="2025-11-04T00:00:00"/>
    <d v="2025-11-10T00:00:00"/>
    <x v="0"/>
    <x v="0"/>
    <d v="2025-12-01T00:00:00"/>
    <n v="8"/>
    <n v="2"/>
    <n v="3"/>
    <n v="6"/>
  </r>
  <r>
    <s v="L1482"/>
    <x v="1"/>
    <x v="0"/>
    <d v="2025-10-11T00:00:00"/>
    <d v="2025-10-12T00:00:00"/>
    <d v="2025-10-14T00:00:00"/>
    <d v="2025-10-16T00:00:00"/>
    <x v="0"/>
    <x v="0"/>
    <d v="2025-11-01T00:00:00"/>
    <n v="5"/>
    <n v="1"/>
    <n v="2"/>
    <n v="2"/>
  </r>
  <r>
    <s v="L1483"/>
    <x v="1"/>
    <x v="0"/>
    <d v="2025-10-28T00:00:00"/>
    <d v="2025-10-31T00:00:00"/>
    <d v="2025-11-03T00:00:00"/>
    <d v="2025-11-09T00:00:00"/>
    <x v="0"/>
    <x v="0"/>
    <d v="2025-11-27T00:00:00"/>
    <n v="5"/>
    <n v="3"/>
    <n v="3"/>
    <n v="6"/>
  </r>
  <r>
    <s v="L1484"/>
    <x v="0"/>
    <x v="0"/>
    <d v="2025-10-07T00:00:00"/>
    <d v="2025-10-11T00:00:00"/>
    <d v="2025-10-12T00:00:00"/>
    <d v="2025-10-14T00:00:00"/>
    <x v="0"/>
    <x v="0"/>
    <d v="2025-11-04T00:00:00"/>
    <n v="6"/>
    <n v="4"/>
    <n v="1"/>
    <n v="2"/>
  </r>
  <r>
    <s v="L1485"/>
    <x v="3"/>
    <x v="0"/>
    <d v="2025-10-23T00:00:00"/>
    <d v="2025-10-25T00:00:00"/>
    <d v="2025-10-29T00:00:00"/>
    <d v="2025-11-02T00:00:00"/>
    <x v="1"/>
    <x v="2"/>
    <m/>
    <m/>
    <n v="2"/>
    <n v="4"/>
    <n v="4"/>
  </r>
  <r>
    <s v="L1486"/>
    <x v="3"/>
    <x v="0"/>
    <d v="2025-10-08T00:00:00"/>
    <d v="2025-10-12T00:00:00"/>
    <d v="2025-10-15T00:00:00"/>
    <d v="2025-10-19T00:00:00"/>
    <x v="0"/>
    <x v="0"/>
    <d v="2025-11-12T00:00:00"/>
    <n v="9"/>
    <n v="4"/>
    <n v="3"/>
    <n v="4"/>
  </r>
  <r>
    <s v="L1487"/>
    <x v="2"/>
    <x v="2"/>
    <d v="2025-10-19T00:00:00"/>
    <d v="2025-10-23T00:00:00"/>
    <d v="2025-10-24T00:00:00"/>
    <d v="2025-10-27T00:00:00"/>
    <x v="0"/>
    <x v="0"/>
    <d v="2025-11-22T00:00:00"/>
    <n v="4"/>
    <n v="4"/>
    <n v="1"/>
    <n v="3"/>
  </r>
  <r>
    <s v="L1488"/>
    <x v="2"/>
    <x v="0"/>
    <d v="2025-10-13T00:00:00"/>
    <d v="2025-10-18T00:00:00"/>
    <d v="2025-10-23T00:00:00"/>
    <d v="2025-10-28T00:00:00"/>
    <x v="0"/>
    <x v="0"/>
    <d v="2025-11-19T00:00:00"/>
    <n v="5"/>
    <n v="5"/>
    <n v="5"/>
    <n v="5"/>
  </r>
  <r>
    <s v="L1489"/>
    <x v="2"/>
    <x v="2"/>
    <d v="2025-10-08T00:00:00"/>
    <d v="2025-10-09T00:00:00"/>
    <d v="2025-10-11T00:00:00"/>
    <d v="2025-10-17T00:00:00"/>
    <x v="0"/>
    <x v="0"/>
    <d v="2025-11-16T00:00:00"/>
    <n v="2"/>
    <n v="1"/>
    <n v="2"/>
    <n v="6"/>
  </r>
  <r>
    <s v="L1490"/>
    <x v="1"/>
    <x v="0"/>
    <d v="2025-10-28T00:00:00"/>
    <d v="2025-10-29T00:00:00"/>
    <d v="2025-10-30T00:00:00"/>
    <d v="2025-11-04T00:00:00"/>
    <x v="0"/>
    <x v="0"/>
    <d v="2025-11-17T00:00:00"/>
    <n v="9"/>
    <n v="1"/>
    <n v="1"/>
    <n v="5"/>
  </r>
  <r>
    <s v="L1491"/>
    <x v="1"/>
    <x v="0"/>
    <d v="2025-10-25T00:00:00"/>
    <d v="2025-10-26T00:00:00"/>
    <d v="2025-10-29T00:00:00"/>
    <d v="2025-11-02T00:00:00"/>
    <x v="1"/>
    <x v="1"/>
    <m/>
    <m/>
    <n v="1"/>
    <n v="3"/>
    <n v="4"/>
  </r>
  <r>
    <s v="L1492"/>
    <x v="2"/>
    <x v="0"/>
    <d v="2025-10-14T00:00:00"/>
    <d v="2025-10-17T00:00:00"/>
    <d v="2025-10-21T00:00:00"/>
    <d v="2025-10-27T00:00:00"/>
    <x v="0"/>
    <x v="0"/>
    <d v="2025-11-06T00:00:00"/>
    <n v="3"/>
    <n v="3"/>
    <n v="4"/>
    <n v="6"/>
  </r>
  <r>
    <s v="L1493"/>
    <x v="2"/>
    <x v="0"/>
    <d v="2025-10-02T00:00:00"/>
    <d v="2025-10-04T00:00:00"/>
    <d v="2025-10-09T00:00:00"/>
    <d v="2025-10-16T00:00:00"/>
    <x v="0"/>
    <x v="0"/>
    <d v="2025-11-02T00:00:00"/>
    <n v="1"/>
    <n v="2"/>
    <n v="5"/>
    <n v="7"/>
  </r>
  <r>
    <s v="L1494"/>
    <x v="2"/>
    <x v="1"/>
    <d v="2025-10-11T00:00:00"/>
    <m/>
    <m/>
    <m/>
    <x v="1"/>
    <x v="5"/>
    <m/>
    <m/>
    <m/>
    <n v="0"/>
    <n v="0"/>
  </r>
  <r>
    <s v="L1495"/>
    <x v="3"/>
    <x v="1"/>
    <d v="2025-10-24T00:00:00"/>
    <m/>
    <m/>
    <m/>
    <x v="1"/>
    <x v="4"/>
    <m/>
    <m/>
    <m/>
    <n v="0"/>
    <n v="0"/>
  </r>
  <r>
    <s v="L1496"/>
    <x v="1"/>
    <x v="1"/>
    <d v="2025-10-16T00:00:00"/>
    <m/>
    <m/>
    <m/>
    <x v="1"/>
    <x v="4"/>
    <m/>
    <m/>
    <m/>
    <n v="0"/>
    <n v="0"/>
  </r>
  <r>
    <s v="L1497"/>
    <x v="3"/>
    <x v="1"/>
    <d v="2025-10-23T00:00:00"/>
    <m/>
    <m/>
    <m/>
    <x v="1"/>
    <x v="5"/>
    <m/>
    <m/>
    <m/>
    <n v="0"/>
    <n v="0"/>
  </r>
  <r>
    <s v="L1498"/>
    <x v="3"/>
    <x v="2"/>
    <d v="2025-10-30T00:00:00"/>
    <d v="2025-11-01T00:00:00"/>
    <d v="2025-11-06T00:00:00"/>
    <d v="2025-11-09T00:00:00"/>
    <x v="0"/>
    <x v="0"/>
    <d v="2025-11-30T00:00:00"/>
    <n v="8"/>
    <n v="2"/>
    <n v="5"/>
    <n v="3"/>
  </r>
  <r>
    <s v="L1499"/>
    <x v="2"/>
    <x v="2"/>
    <d v="2025-10-26T00:00:00"/>
    <d v="2025-10-31T00:00:00"/>
    <d v="2025-11-01T00:00:00"/>
    <d v="2025-11-06T00:00:00"/>
    <x v="0"/>
    <x v="0"/>
    <d v="2025-12-01T00:00:00"/>
    <n v="7"/>
    <n v="5"/>
    <n v="1"/>
    <n v="5"/>
  </r>
  <r>
    <s v="L1500"/>
    <x v="2"/>
    <x v="0"/>
    <d v="2025-10-13T00:00:00"/>
    <d v="2025-10-18T00:00:00"/>
    <d v="2025-10-19T00:00:00"/>
    <d v="2025-10-21T00:00:00"/>
    <x v="0"/>
    <x v="0"/>
    <d v="2025-11-19T00:00:00"/>
    <n v="9"/>
    <n v="5"/>
    <n v="1"/>
    <n v="2"/>
  </r>
  <r>
    <s v="L1501"/>
    <x v="0"/>
    <x v="2"/>
    <d v="2025-10-13T00:00:00"/>
    <d v="2025-10-18T00:00:00"/>
    <d v="2025-10-20T00:00:00"/>
    <d v="2025-10-22T00:00:00"/>
    <x v="0"/>
    <x v="0"/>
    <d v="2025-11-15T00:00:00"/>
    <n v="4"/>
    <n v="5"/>
    <n v="2"/>
    <n v="2"/>
  </r>
  <r>
    <s v="L1502"/>
    <x v="0"/>
    <x v="0"/>
    <d v="2025-10-22T00:00:00"/>
    <d v="2025-10-26T00:00:00"/>
    <d v="2025-10-31T00:00:00"/>
    <d v="2025-11-06T00:00:00"/>
    <x v="0"/>
    <x v="0"/>
    <d v="2025-11-21T00:00:00"/>
    <n v="5"/>
    <n v="4"/>
    <n v="5"/>
    <n v="6"/>
  </r>
  <r>
    <s v="L1503"/>
    <x v="3"/>
    <x v="0"/>
    <d v="2025-10-26T00:00:00"/>
    <d v="2025-10-27T00:00:00"/>
    <d v="2025-11-01T00:00:00"/>
    <d v="2025-11-03T00:00:00"/>
    <x v="0"/>
    <x v="0"/>
    <d v="2025-11-28T00:00:00"/>
    <n v="10"/>
    <n v="1"/>
    <n v="5"/>
    <n v="2"/>
  </r>
  <r>
    <s v="L1504"/>
    <x v="1"/>
    <x v="0"/>
    <d v="2025-10-27T00:00:00"/>
    <d v="2025-10-30T00:00:00"/>
    <d v="2025-11-01T00:00:00"/>
    <d v="2025-11-03T00:00:00"/>
    <x v="0"/>
    <x v="0"/>
    <d v="2025-12-01T00:00:00"/>
    <n v="1"/>
    <n v="3"/>
    <n v="2"/>
    <n v="2"/>
  </r>
  <r>
    <s v="L1505"/>
    <x v="2"/>
    <x v="0"/>
    <d v="2025-10-21T00:00:00"/>
    <d v="2025-10-23T00:00:00"/>
    <d v="2025-10-27T00:00:00"/>
    <d v="2025-10-31T00:00:00"/>
    <x v="0"/>
    <x v="0"/>
    <d v="2025-11-27T00:00:00"/>
    <n v="10"/>
    <n v="2"/>
    <n v="4"/>
    <n v="4"/>
  </r>
  <r>
    <s v="L1506"/>
    <x v="2"/>
    <x v="0"/>
    <d v="2025-10-05T00:00:00"/>
    <d v="2025-10-08T00:00:00"/>
    <d v="2025-10-10T00:00:00"/>
    <d v="2025-10-13T00:00:00"/>
    <x v="0"/>
    <x v="0"/>
    <d v="2025-11-03T00:00:00"/>
    <n v="5"/>
    <n v="3"/>
    <n v="2"/>
    <n v="3"/>
  </r>
  <r>
    <s v="L1507"/>
    <x v="3"/>
    <x v="0"/>
    <d v="2025-10-16T00:00:00"/>
    <d v="2025-10-17T00:00:00"/>
    <d v="2025-10-20T00:00:00"/>
    <d v="2025-10-22T00:00:00"/>
    <x v="0"/>
    <x v="0"/>
    <d v="2025-11-12T00:00:00"/>
    <n v="5"/>
    <n v="1"/>
    <n v="3"/>
    <n v="2"/>
  </r>
  <r>
    <s v="L1508"/>
    <x v="0"/>
    <x v="1"/>
    <d v="2025-10-31T00:00:00"/>
    <m/>
    <m/>
    <m/>
    <x v="1"/>
    <x v="4"/>
    <m/>
    <m/>
    <m/>
    <n v="0"/>
    <n v="0"/>
  </r>
  <r>
    <s v="L1509"/>
    <x v="1"/>
    <x v="0"/>
    <d v="2025-10-02T00:00:00"/>
    <d v="2025-10-03T00:00:00"/>
    <d v="2025-10-06T00:00:00"/>
    <d v="2025-10-08T00:00:00"/>
    <x v="0"/>
    <x v="0"/>
    <d v="2025-10-23T00:00:00"/>
    <n v="7"/>
    <n v="1"/>
    <n v="3"/>
    <n v="2"/>
  </r>
  <r>
    <s v="L1510"/>
    <x v="0"/>
    <x v="1"/>
    <d v="2025-10-05T00:00:00"/>
    <m/>
    <m/>
    <m/>
    <x v="1"/>
    <x v="3"/>
    <m/>
    <m/>
    <m/>
    <n v="0"/>
    <n v="0"/>
  </r>
  <r>
    <s v="L1511"/>
    <x v="0"/>
    <x v="2"/>
    <d v="2025-10-17T00:00:00"/>
    <d v="2025-10-19T00:00:00"/>
    <d v="2025-10-20T00:00:00"/>
    <d v="2025-10-25T00:00:00"/>
    <x v="0"/>
    <x v="0"/>
    <d v="2025-11-12T00:00:00"/>
    <n v="7"/>
    <n v="2"/>
    <n v="1"/>
    <n v="5"/>
  </r>
  <r>
    <s v="L1512"/>
    <x v="0"/>
    <x v="1"/>
    <d v="2025-10-31T00:00:00"/>
    <m/>
    <m/>
    <m/>
    <x v="1"/>
    <x v="1"/>
    <m/>
    <m/>
    <m/>
    <n v="0"/>
    <n v="0"/>
  </r>
  <r>
    <s v="L1513"/>
    <x v="0"/>
    <x v="0"/>
    <d v="2025-10-19T00:00:00"/>
    <d v="2025-10-23T00:00:00"/>
    <d v="2025-10-25T00:00:00"/>
    <d v="2025-10-31T00:00:00"/>
    <x v="0"/>
    <x v="0"/>
    <d v="2025-11-12T00:00:00"/>
    <n v="3"/>
    <n v="4"/>
    <n v="2"/>
    <n v="6"/>
  </r>
  <r>
    <s v="L1514"/>
    <x v="2"/>
    <x v="0"/>
    <d v="2025-10-11T00:00:00"/>
    <d v="2025-10-16T00:00:00"/>
    <d v="2025-10-18T00:00:00"/>
    <d v="2025-10-22T00:00:00"/>
    <x v="0"/>
    <x v="0"/>
    <d v="2025-11-10T00:00:00"/>
    <n v="5"/>
    <n v="5"/>
    <n v="2"/>
    <n v="4"/>
  </r>
  <r>
    <s v="L1515"/>
    <x v="2"/>
    <x v="2"/>
    <d v="2025-10-28T00:00:00"/>
    <d v="2025-11-01T00:00:00"/>
    <d v="2025-11-02T00:00:00"/>
    <d v="2025-11-09T00:00:00"/>
    <x v="1"/>
    <x v="1"/>
    <m/>
    <m/>
    <n v="4"/>
    <n v="1"/>
    <n v="7"/>
  </r>
  <r>
    <s v="L1516"/>
    <x v="0"/>
    <x v="0"/>
    <d v="2025-10-04T00:00:00"/>
    <d v="2025-10-05T00:00:00"/>
    <d v="2025-10-09T00:00:00"/>
    <d v="2025-10-16T00:00:00"/>
    <x v="0"/>
    <x v="0"/>
    <d v="2025-10-26T00:00:00"/>
    <n v="2"/>
    <n v="1"/>
    <n v="4"/>
    <n v="7"/>
  </r>
  <r>
    <s v="L1517"/>
    <x v="1"/>
    <x v="2"/>
    <d v="2025-10-28T00:00:00"/>
    <d v="2025-10-29T00:00:00"/>
    <d v="2025-10-31T00:00:00"/>
    <d v="2025-11-06T00:00:00"/>
    <x v="0"/>
    <x v="0"/>
    <d v="2025-11-28T00:00:00"/>
    <n v="1"/>
    <n v="1"/>
    <n v="2"/>
    <n v="6"/>
  </r>
  <r>
    <s v="L1518"/>
    <x v="3"/>
    <x v="2"/>
    <d v="2025-10-28T00:00:00"/>
    <d v="2025-11-01T00:00:00"/>
    <d v="2025-11-06T00:00:00"/>
    <d v="2025-11-11T00:00:00"/>
    <x v="0"/>
    <x v="0"/>
    <d v="2025-11-22T00:00:00"/>
    <n v="10"/>
    <n v="4"/>
    <n v="5"/>
    <n v="5"/>
  </r>
  <r>
    <s v="L1519"/>
    <x v="1"/>
    <x v="0"/>
    <d v="2025-10-15T00:00:00"/>
    <d v="2025-10-20T00:00:00"/>
    <d v="2025-10-22T00:00:00"/>
    <d v="2025-10-27T00:00:00"/>
    <x v="0"/>
    <x v="0"/>
    <d v="2025-11-11T00:00:00"/>
    <n v="6"/>
    <n v="5"/>
    <n v="2"/>
    <n v="5"/>
  </r>
  <r>
    <s v="L1520"/>
    <x v="1"/>
    <x v="0"/>
    <d v="2025-10-04T00:00:00"/>
    <d v="2025-10-09T00:00:00"/>
    <d v="2025-10-13T00:00:00"/>
    <d v="2025-10-20T00:00:00"/>
    <x v="0"/>
    <x v="0"/>
    <d v="2025-11-17T00:00:00"/>
    <n v="7"/>
    <n v="5"/>
    <n v="4"/>
    <n v="7"/>
  </r>
  <r>
    <s v="L1521"/>
    <x v="1"/>
    <x v="0"/>
    <d v="2025-10-17T00:00:00"/>
    <d v="2025-10-18T00:00:00"/>
    <d v="2025-10-20T00:00:00"/>
    <d v="2025-10-25T00:00:00"/>
    <x v="0"/>
    <x v="0"/>
    <d v="2025-11-10T00:00:00"/>
    <n v="4"/>
    <n v="1"/>
    <n v="2"/>
    <n v="5"/>
  </r>
  <r>
    <s v="L1522"/>
    <x v="0"/>
    <x v="1"/>
    <d v="2025-10-30T00:00:00"/>
    <m/>
    <m/>
    <m/>
    <x v="1"/>
    <x v="5"/>
    <m/>
    <m/>
    <m/>
    <n v="0"/>
    <n v="0"/>
  </r>
  <r>
    <s v="L1523"/>
    <x v="2"/>
    <x v="0"/>
    <d v="2025-10-15T00:00:00"/>
    <d v="2025-10-20T00:00:00"/>
    <d v="2025-10-25T00:00:00"/>
    <d v="2025-10-27T00:00:00"/>
    <x v="0"/>
    <x v="0"/>
    <d v="2025-11-13T00:00:00"/>
    <n v="4"/>
    <n v="5"/>
    <n v="5"/>
    <n v="2"/>
  </r>
  <r>
    <s v="L1524"/>
    <x v="1"/>
    <x v="0"/>
    <d v="2025-10-01T00:00:00"/>
    <d v="2025-10-06T00:00:00"/>
    <d v="2025-10-09T00:00:00"/>
    <d v="2025-10-16T00:00:00"/>
    <x v="0"/>
    <x v="0"/>
    <d v="2025-11-15T00:00:00"/>
    <n v="8"/>
    <n v="5"/>
    <n v="3"/>
    <n v="7"/>
  </r>
  <r>
    <s v="L1525"/>
    <x v="0"/>
    <x v="2"/>
    <d v="2025-10-24T00:00:00"/>
    <d v="2025-10-26T00:00:00"/>
    <d v="2025-10-29T00:00:00"/>
    <d v="2025-11-04T00:00:00"/>
    <x v="0"/>
    <x v="0"/>
    <d v="2025-11-21T00:00:00"/>
    <n v="8"/>
    <n v="2"/>
    <n v="3"/>
    <n v="6"/>
  </r>
  <r>
    <s v="L1526"/>
    <x v="1"/>
    <x v="0"/>
    <d v="2025-10-05T00:00:00"/>
    <d v="2025-10-07T00:00:00"/>
    <d v="2025-10-11T00:00:00"/>
    <d v="2025-10-17T00:00:00"/>
    <x v="0"/>
    <x v="0"/>
    <d v="2025-11-02T00:00:00"/>
    <n v="6"/>
    <n v="2"/>
    <n v="4"/>
    <n v="6"/>
  </r>
  <r>
    <s v="L1527"/>
    <x v="1"/>
    <x v="0"/>
    <d v="2025-10-14T00:00:00"/>
    <d v="2025-10-17T00:00:00"/>
    <d v="2025-10-21T00:00:00"/>
    <d v="2025-10-27T00:00:00"/>
    <x v="0"/>
    <x v="0"/>
    <d v="2025-11-14T00:00:00"/>
    <n v="4"/>
    <n v="3"/>
    <n v="4"/>
    <n v="6"/>
  </r>
  <r>
    <s v="L1528"/>
    <x v="0"/>
    <x v="1"/>
    <d v="2025-10-28T00:00:00"/>
    <m/>
    <m/>
    <m/>
    <x v="1"/>
    <x v="4"/>
    <m/>
    <m/>
    <m/>
    <n v="0"/>
    <n v="0"/>
  </r>
  <r>
    <s v="L1529"/>
    <x v="2"/>
    <x v="1"/>
    <d v="2025-10-21T00:00:00"/>
    <m/>
    <m/>
    <m/>
    <x v="1"/>
    <x v="2"/>
    <m/>
    <m/>
    <m/>
    <n v="0"/>
    <n v="0"/>
  </r>
  <r>
    <s v="L1530"/>
    <x v="2"/>
    <x v="0"/>
    <d v="2025-10-05T00:00:00"/>
    <d v="2025-10-09T00:00:00"/>
    <d v="2025-10-14T00:00:00"/>
    <d v="2025-10-17T00:00:00"/>
    <x v="0"/>
    <x v="0"/>
    <d v="2025-11-16T00:00:00"/>
    <n v="2"/>
    <n v="4"/>
    <n v="5"/>
    <n v="3"/>
  </r>
  <r>
    <s v="L1531"/>
    <x v="3"/>
    <x v="2"/>
    <d v="2025-10-03T00:00:00"/>
    <d v="2025-10-04T00:00:00"/>
    <d v="2025-10-07T00:00:00"/>
    <d v="2025-10-11T00:00:00"/>
    <x v="0"/>
    <x v="0"/>
    <d v="2025-11-03T00:00:00"/>
    <n v="2"/>
    <n v="1"/>
    <n v="3"/>
    <n v="4"/>
  </r>
  <r>
    <s v="L1532"/>
    <x v="0"/>
    <x v="1"/>
    <d v="2025-10-16T00:00:00"/>
    <m/>
    <m/>
    <m/>
    <x v="1"/>
    <x v="2"/>
    <m/>
    <m/>
    <m/>
    <n v="0"/>
    <n v="0"/>
  </r>
  <r>
    <s v="L1533"/>
    <x v="3"/>
    <x v="0"/>
    <d v="2025-10-26T00:00:00"/>
    <d v="2025-10-31T00:00:00"/>
    <d v="2025-11-03T00:00:00"/>
    <d v="2025-11-05T00:00:00"/>
    <x v="0"/>
    <x v="0"/>
    <d v="2025-12-01T00:00:00"/>
    <n v="1"/>
    <n v="5"/>
    <n v="3"/>
    <n v="2"/>
  </r>
  <r>
    <s v="L1534"/>
    <x v="3"/>
    <x v="2"/>
    <d v="2025-10-09T00:00:00"/>
    <d v="2025-10-12T00:00:00"/>
    <d v="2025-10-15T00:00:00"/>
    <d v="2025-10-19T00:00:00"/>
    <x v="0"/>
    <x v="0"/>
    <d v="2025-10-29T00:00:00"/>
    <n v="0"/>
    <n v="3"/>
    <n v="3"/>
    <n v="4"/>
  </r>
  <r>
    <s v="L1535"/>
    <x v="3"/>
    <x v="2"/>
    <d v="2025-10-11T00:00:00"/>
    <d v="2025-10-13T00:00:00"/>
    <d v="2025-10-16T00:00:00"/>
    <d v="2025-10-18T00:00:00"/>
    <x v="1"/>
    <x v="4"/>
    <m/>
    <m/>
    <n v="2"/>
    <n v="3"/>
    <n v="2"/>
  </r>
  <r>
    <s v="L1536"/>
    <x v="2"/>
    <x v="0"/>
    <d v="2025-10-20T00:00:00"/>
    <d v="2025-10-25T00:00:00"/>
    <d v="2025-10-30T00:00:00"/>
    <d v="2025-11-05T00:00:00"/>
    <x v="0"/>
    <x v="0"/>
    <d v="2025-11-15T00:00:00"/>
    <n v="0"/>
    <n v="5"/>
    <n v="5"/>
    <n v="6"/>
  </r>
  <r>
    <s v="L1537"/>
    <x v="0"/>
    <x v="2"/>
    <d v="2025-10-23T00:00:00"/>
    <d v="2025-10-27T00:00:00"/>
    <d v="2025-10-31T00:00:00"/>
    <d v="2025-11-03T00:00:00"/>
    <x v="0"/>
    <x v="0"/>
    <d v="2025-11-28T00:00:00"/>
    <n v="3"/>
    <n v="4"/>
    <n v="4"/>
    <n v="3"/>
  </r>
  <r>
    <s v="L1538"/>
    <x v="3"/>
    <x v="1"/>
    <d v="2025-10-13T00:00:00"/>
    <m/>
    <m/>
    <m/>
    <x v="1"/>
    <x v="2"/>
    <m/>
    <m/>
    <m/>
    <n v="0"/>
    <n v="0"/>
  </r>
  <r>
    <s v="L1539"/>
    <x v="0"/>
    <x v="0"/>
    <d v="2025-10-21T00:00:00"/>
    <d v="2025-10-23T00:00:00"/>
    <d v="2025-10-27T00:00:00"/>
    <d v="2025-10-30T00:00:00"/>
    <x v="1"/>
    <x v="5"/>
    <m/>
    <m/>
    <n v="2"/>
    <n v="4"/>
    <n v="3"/>
  </r>
  <r>
    <s v="L1540"/>
    <x v="0"/>
    <x v="2"/>
    <d v="2025-10-03T00:00:00"/>
    <d v="2025-10-04T00:00:00"/>
    <d v="2025-10-05T00:00:00"/>
    <d v="2025-10-11T00:00:00"/>
    <x v="0"/>
    <x v="0"/>
    <d v="2025-10-25T00:00:00"/>
    <n v="9"/>
    <n v="1"/>
    <n v="1"/>
    <n v="6"/>
  </r>
  <r>
    <s v="L1541"/>
    <x v="2"/>
    <x v="1"/>
    <d v="2025-10-28T00:00:00"/>
    <m/>
    <m/>
    <m/>
    <x v="1"/>
    <x v="5"/>
    <m/>
    <m/>
    <m/>
    <n v="0"/>
    <n v="0"/>
  </r>
  <r>
    <s v="L1542"/>
    <x v="3"/>
    <x v="0"/>
    <d v="2025-10-11T00:00:00"/>
    <d v="2025-10-16T00:00:00"/>
    <d v="2025-10-20T00:00:00"/>
    <d v="2025-10-24T00:00:00"/>
    <x v="0"/>
    <x v="0"/>
    <d v="2025-11-23T00:00:00"/>
    <n v="9"/>
    <n v="5"/>
    <n v="4"/>
    <n v="4"/>
  </r>
  <r>
    <s v="L1543"/>
    <x v="3"/>
    <x v="0"/>
    <d v="2025-10-28T00:00:00"/>
    <d v="2025-10-31T00:00:00"/>
    <d v="2025-11-03T00:00:00"/>
    <d v="2025-11-08T00:00:00"/>
    <x v="0"/>
    <x v="0"/>
    <d v="2025-11-23T00:00:00"/>
    <n v="4"/>
    <n v="3"/>
    <n v="3"/>
    <n v="5"/>
  </r>
  <r>
    <s v="L1544"/>
    <x v="0"/>
    <x v="2"/>
    <d v="2025-10-22T00:00:00"/>
    <d v="2025-10-23T00:00:00"/>
    <d v="2025-10-25T00:00:00"/>
    <d v="2025-10-31T00:00:00"/>
    <x v="0"/>
    <x v="0"/>
    <d v="2025-11-29T00:00:00"/>
    <n v="1"/>
    <n v="1"/>
    <n v="2"/>
    <n v="6"/>
  </r>
  <r>
    <s v="L1545"/>
    <x v="1"/>
    <x v="2"/>
    <d v="2025-10-28T00:00:00"/>
    <d v="2025-11-02T00:00:00"/>
    <d v="2025-11-05T00:00:00"/>
    <d v="2025-11-12T00:00:00"/>
    <x v="0"/>
    <x v="0"/>
    <d v="2025-11-22T00:00:00"/>
    <n v="6"/>
    <n v="5"/>
    <n v="3"/>
    <n v="7"/>
  </r>
  <r>
    <s v="L1546"/>
    <x v="2"/>
    <x v="0"/>
    <d v="2025-10-18T00:00:00"/>
    <d v="2025-10-23T00:00:00"/>
    <d v="2025-10-26T00:00:00"/>
    <d v="2025-11-02T00:00:00"/>
    <x v="0"/>
    <x v="0"/>
    <d v="2025-11-19T00:00:00"/>
    <n v="3"/>
    <n v="5"/>
    <n v="3"/>
    <n v="7"/>
  </r>
  <r>
    <s v="L1547"/>
    <x v="2"/>
    <x v="0"/>
    <d v="2025-10-13T00:00:00"/>
    <d v="2025-10-18T00:00:00"/>
    <d v="2025-10-22T00:00:00"/>
    <d v="2025-10-29T00:00:00"/>
    <x v="0"/>
    <x v="0"/>
    <d v="2025-11-16T00:00:00"/>
    <n v="4"/>
    <n v="5"/>
    <n v="4"/>
    <n v="7"/>
  </r>
  <r>
    <s v="L1548"/>
    <x v="2"/>
    <x v="0"/>
    <d v="2025-10-31T00:00:00"/>
    <d v="2025-11-05T00:00:00"/>
    <d v="2025-11-06T00:00:00"/>
    <d v="2025-11-13T00:00:00"/>
    <x v="0"/>
    <x v="0"/>
    <d v="2025-12-12T00:00:00"/>
    <n v="6"/>
    <n v="5"/>
    <n v="1"/>
    <n v="7"/>
  </r>
  <r>
    <s v="L1549"/>
    <x v="2"/>
    <x v="0"/>
    <d v="2025-10-11T00:00:00"/>
    <d v="2025-10-16T00:00:00"/>
    <d v="2025-10-21T00:00:00"/>
    <d v="2025-10-23T00:00:00"/>
    <x v="0"/>
    <x v="0"/>
    <d v="2025-11-11T00:00:00"/>
    <n v="5"/>
    <n v="5"/>
    <n v="5"/>
    <n v="2"/>
  </r>
  <r>
    <s v="L1550"/>
    <x v="3"/>
    <x v="0"/>
    <d v="2025-10-21T00:00:00"/>
    <d v="2025-10-22T00:00:00"/>
    <d v="2025-10-24T00:00:00"/>
    <d v="2025-10-28T00:00:00"/>
    <x v="0"/>
    <x v="0"/>
    <d v="2025-11-27T00:00:00"/>
    <n v="3"/>
    <n v="1"/>
    <n v="2"/>
    <n v="4"/>
  </r>
  <r>
    <s v="L1551"/>
    <x v="3"/>
    <x v="2"/>
    <d v="2025-10-23T00:00:00"/>
    <d v="2025-10-27T00:00:00"/>
    <d v="2025-10-29T00:00:00"/>
    <d v="2025-11-05T00:00:00"/>
    <x v="0"/>
    <x v="0"/>
    <d v="2025-11-23T00:00:00"/>
    <n v="3"/>
    <n v="4"/>
    <n v="2"/>
    <n v="7"/>
  </r>
  <r>
    <s v="L1552"/>
    <x v="1"/>
    <x v="0"/>
    <d v="2025-10-29T00:00:00"/>
    <d v="2025-11-02T00:00:00"/>
    <d v="2025-11-03T00:00:00"/>
    <d v="2025-11-08T00:00:00"/>
    <x v="0"/>
    <x v="0"/>
    <d v="2025-12-01T00:00:00"/>
    <n v="9"/>
    <n v="4"/>
    <n v="1"/>
    <n v="5"/>
  </r>
  <r>
    <s v="L1553"/>
    <x v="2"/>
    <x v="1"/>
    <d v="2025-10-25T00:00:00"/>
    <m/>
    <m/>
    <m/>
    <x v="1"/>
    <x v="4"/>
    <m/>
    <m/>
    <m/>
    <n v="0"/>
    <n v="0"/>
  </r>
  <r>
    <s v="L1554"/>
    <x v="2"/>
    <x v="0"/>
    <d v="2025-10-16T00:00:00"/>
    <d v="2025-10-17T00:00:00"/>
    <d v="2025-10-20T00:00:00"/>
    <d v="2025-10-27T00:00:00"/>
    <x v="0"/>
    <x v="0"/>
    <d v="2025-11-18T00:00:00"/>
    <n v="2"/>
    <n v="1"/>
    <n v="3"/>
    <n v="7"/>
  </r>
  <r>
    <s v="L1555"/>
    <x v="0"/>
    <x v="0"/>
    <d v="2025-10-28T00:00:00"/>
    <d v="2025-11-01T00:00:00"/>
    <d v="2025-11-06T00:00:00"/>
    <d v="2025-11-09T00:00:00"/>
    <x v="0"/>
    <x v="0"/>
    <d v="2025-11-30T00:00:00"/>
    <n v="8"/>
    <n v="4"/>
    <n v="5"/>
    <n v="3"/>
  </r>
  <r>
    <s v="L1556"/>
    <x v="3"/>
    <x v="2"/>
    <d v="2025-10-18T00:00:00"/>
    <d v="2025-10-21T00:00:00"/>
    <d v="2025-10-26T00:00:00"/>
    <d v="2025-10-28T00:00:00"/>
    <x v="0"/>
    <x v="0"/>
    <d v="2025-11-21T00:00:00"/>
    <n v="1"/>
    <n v="3"/>
    <n v="5"/>
    <n v="2"/>
  </r>
  <r>
    <s v="L1557"/>
    <x v="2"/>
    <x v="0"/>
    <d v="2025-10-02T00:00:00"/>
    <d v="2025-10-05T00:00:00"/>
    <d v="2025-10-10T00:00:00"/>
    <d v="2025-10-13T00:00:00"/>
    <x v="0"/>
    <x v="0"/>
    <d v="2025-10-31T00:00:00"/>
    <n v="2"/>
    <n v="3"/>
    <n v="5"/>
    <n v="3"/>
  </r>
  <r>
    <s v="L1558"/>
    <x v="1"/>
    <x v="0"/>
    <d v="2025-10-20T00:00:00"/>
    <d v="2025-10-21T00:00:00"/>
    <d v="2025-10-25T00:00:00"/>
    <d v="2025-10-27T00:00:00"/>
    <x v="0"/>
    <x v="0"/>
    <d v="2025-11-12T00:00:00"/>
    <n v="6"/>
    <n v="1"/>
    <n v="4"/>
    <n v="2"/>
  </r>
  <r>
    <s v="L1559"/>
    <x v="1"/>
    <x v="1"/>
    <d v="2025-10-03T00:00:00"/>
    <m/>
    <m/>
    <m/>
    <x v="1"/>
    <x v="2"/>
    <m/>
    <m/>
    <m/>
    <n v="0"/>
    <n v="0"/>
  </r>
  <r>
    <s v="L1560"/>
    <x v="3"/>
    <x v="0"/>
    <d v="2025-10-08T00:00:00"/>
    <d v="2025-10-11T00:00:00"/>
    <d v="2025-10-14T00:00:00"/>
    <d v="2025-10-19T00:00:00"/>
    <x v="0"/>
    <x v="0"/>
    <d v="2025-11-12T00:00:00"/>
    <n v="6"/>
    <n v="3"/>
    <n v="3"/>
    <n v="5"/>
  </r>
  <r>
    <s v="L1561"/>
    <x v="1"/>
    <x v="1"/>
    <d v="2025-10-21T00:00:00"/>
    <m/>
    <m/>
    <m/>
    <x v="1"/>
    <x v="5"/>
    <m/>
    <m/>
    <m/>
    <n v="0"/>
    <n v="0"/>
  </r>
  <r>
    <s v="L1562"/>
    <x v="1"/>
    <x v="0"/>
    <d v="2025-10-22T00:00:00"/>
    <d v="2025-10-23T00:00:00"/>
    <d v="2025-10-25T00:00:00"/>
    <d v="2025-10-27T00:00:00"/>
    <x v="0"/>
    <x v="0"/>
    <d v="2025-11-15T00:00:00"/>
    <n v="1"/>
    <n v="1"/>
    <n v="2"/>
    <n v="2"/>
  </r>
  <r>
    <s v="L1563"/>
    <x v="3"/>
    <x v="2"/>
    <d v="2025-10-30T00:00:00"/>
    <d v="2025-11-02T00:00:00"/>
    <d v="2025-11-04T00:00:00"/>
    <d v="2025-11-09T00:00:00"/>
    <x v="0"/>
    <x v="0"/>
    <d v="2025-12-05T00:00:00"/>
    <n v="3"/>
    <n v="3"/>
    <n v="2"/>
    <n v="5"/>
  </r>
  <r>
    <s v="L1564"/>
    <x v="2"/>
    <x v="0"/>
    <d v="2025-10-10T00:00:00"/>
    <d v="2025-10-12T00:00:00"/>
    <d v="2025-10-15T00:00:00"/>
    <d v="2025-10-21T00:00:00"/>
    <x v="0"/>
    <x v="0"/>
    <d v="2025-11-19T00:00:00"/>
    <n v="4"/>
    <n v="2"/>
    <n v="3"/>
    <n v="6"/>
  </r>
  <r>
    <s v="L1565"/>
    <x v="2"/>
    <x v="2"/>
    <d v="2025-10-08T00:00:00"/>
    <d v="2025-10-09T00:00:00"/>
    <d v="2025-10-11T00:00:00"/>
    <d v="2025-10-17T00:00:00"/>
    <x v="0"/>
    <x v="0"/>
    <d v="2025-11-08T00:00:00"/>
    <n v="5"/>
    <n v="1"/>
    <n v="2"/>
    <n v="6"/>
  </r>
  <r>
    <s v="L1566"/>
    <x v="1"/>
    <x v="2"/>
    <d v="2025-10-24T00:00:00"/>
    <d v="2025-10-29T00:00:00"/>
    <d v="2025-11-02T00:00:00"/>
    <d v="2025-11-04T00:00:00"/>
    <x v="0"/>
    <x v="0"/>
    <d v="2025-12-02T00:00:00"/>
    <n v="3"/>
    <n v="5"/>
    <n v="4"/>
    <n v="2"/>
  </r>
  <r>
    <s v="L1567"/>
    <x v="1"/>
    <x v="1"/>
    <d v="2025-10-03T00:00:00"/>
    <m/>
    <m/>
    <m/>
    <x v="1"/>
    <x v="5"/>
    <m/>
    <m/>
    <m/>
    <n v="0"/>
    <n v="0"/>
  </r>
  <r>
    <s v="L1568"/>
    <x v="2"/>
    <x v="0"/>
    <d v="2025-10-14T00:00:00"/>
    <d v="2025-10-17T00:00:00"/>
    <d v="2025-10-22T00:00:00"/>
    <d v="2025-10-26T00:00:00"/>
    <x v="0"/>
    <x v="0"/>
    <d v="2025-11-08T00:00:00"/>
    <n v="9"/>
    <n v="3"/>
    <n v="5"/>
    <n v="4"/>
  </r>
  <r>
    <s v="L1569"/>
    <x v="3"/>
    <x v="0"/>
    <d v="2025-10-04T00:00:00"/>
    <d v="2025-10-06T00:00:00"/>
    <d v="2025-10-08T00:00:00"/>
    <d v="2025-10-15T00:00:00"/>
    <x v="0"/>
    <x v="0"/>
    <d v="2025-10-25T00:00:00"/>
    <n v="4"/>
    <n v="2"/>
    <n v="2"/>
    <n v="7"/>
  </r>
  <r>
    <s v="L1570"/>
    <x v="1"/>
    <x v="2"/>
    <d v="2025-10-25T00:00:00"/>
    <d v="2025-10-26T00:00:00"/>
    <d v="2025-10-30T00:00:00"/>
    <d v="2025-11-06T00:00:00"/>
    <x v="0"/>
    <x v="0"/>
    <d v="2025-12-02T00:00:00"/>
    <n v="9"/>
    <n v="1"/>
    <n v="4"/>
    <n v="7"/>
  </r>
  <r>
    <s v="L1571"/>
    <x v="0"/>
    <x v="0"/>
    <d v="2025-10-21T00:00:00"/>
    <d v="2025-10-24T00:00:00"/>
    <d v="2025-10-29T00:00:00"/>
    <d v="2025-11-05T00:00:00"/>
    <x v="0"/>
    <x v="0"/>
    <d v="2025-11-26T00:00:00"/>
    <n v="2"/>
    <n v="3"/>
    <n v="5"/>
    <n v="7"/>
  </r>
  <r>
    <s v="L1572"/>
    <x v="3"/>
    <x v="2"/>
    <d v="2025-10-23T00:00:00"/>
    <d v="2025-10-28T00:00:00"/>
    <d v="2025-10-31T00:00:00"/>
    <d v="2025-11-07T00:00:00"/>
    <x v="0"/>
    <x v="0"/>
    <d v="2025-12-04T00:00:00"/>
    <n v="1"/>
    <n v="5"/>
    <n v="3"/>
    <n v="7"/>
  </r>
  <r>
    <s v="L1573"/>
    <x v="1"/>
    <x v="2"/>
    <d v="2025-10-28T00:00:00"/>
    <d v="2025-10-31T00:00:00"/>
    <d v="2025-11-03T00:00:00"/>
    <d v="2025-11-06T00:00:00"/>
    <x v="0"/>
    <x v="0"/>
    <d v="2025-12-06T00:00:00"/>
    <n v="7"/>
    <n v="3"/>
    <n v="3"/>
    <n v="3"/>
  </r>
  <r>
    <s v="L1574"/>
    <x v="1"/>
    <x v="0"/>
    <d v="2025-10-04T00:00:00"/>
    <d v="2025-10-06T00:00:00"/>
    <d v="2025-10-10T00:00:00"/>
    <d v="2025-10-12T00:00:00"/>
    <x v="0"/>
    <x v="0"/>
    <d v="2025-11-10T00:00:00"/>
    <n v="0"/>
    <n v="2"/>
    <n v="4"/>
    <n v="2"/>
  </r>
  <r>
    <s v="L1575"/>
    <x v="0"/>
    <x v="2"/>
    <d v="2025-10-15T00:00:00"/>
    <d v="2025-10-19T00:00:00"/>
    <d v="2025-10-23T00:00:00"/>
    <d v="2025-10-25T00:00:00"/>
    <x v="0"/>
    <x v="0"/>
    <d v="2025-11-23T00:00:00"/>
    <n v="10"/>
    <n v="4"/>
    <n v="4"/>
    <n v="2"/>
  </r>
  <r>
    <s v="L1576"/>
    <x v="0"/>
    <x v="0"/>
    <d v="2025-10-06T00:00:00"/>
    <d v="2025-10-10T00:00:00"/>
    <d v="2025-10-14T00:00:00"/>
    <d v="2025-10-21T00:00:00"/>
    <x v="0"/>
    <x v="0"/>
    <d v="2025-11-09T00:00:00"/>
    <n v="7"/>
    <n v="4"/>
    <n v="4"/>
    <n v="7"/>
  </r>
  <r>
    <s v="L1577"/>
    <x v="2"/>
    <x v="2"/>
    <d v="2025-10-23T00:00:00"/>
    <d v="2025-10-25T00:00:00"/>
    <d v="2025-10-27T00:00:00"/>
    <d v="2025-10-30T00:00:00"/>
    <x v="0"/>
    <x v="0"/>
    <d v="2025-11-18T00:00:00"/>
    <n v="3"/>
    <n v="2"/>
    <n v="2"/>
    <n v="3"/>
  </r>
  <r>
    <s v="L1578"/>
    <x v="3"/>
    <x v="2"/>
    <d v="2025-10-10T00:00:00"/>
    <d v="2025-10-12T00:00:00"/>
    <d v="2025-10-15T00:00:00"/>
    <d v="2025-10-22T00:00:00"/>
    <x v="0"/>
    <x v="0"/>
    <d v="2025-11-04T00:00:00"/>
    <n v="6"/>
    <n v="2"/>
    <n v="3"/>
    <n v="7"/>
  </r>
  <r>
    <s v="L1579"/>
    <x v="3"/>
    <x v="2"/>
    <d v="2025-10-29T00:00:00"/>
    <d v="2025-10-30T00:00:00"/>
    <d v="2025-11-01T00:00:00"/>
    <d v="2025-11-03T00:00:00"/>
    <x v="0"/>
    <x v="0"/>
    <d v="2025-11-28T00:00:00"/>
    <n v="9"/>
    <n v="1"/>
    <n v="2"/>
    <n v="2"/>
  </r>
  <r>
    <s v="L1580"/>
    <x v="2"/>
    <x v="0"/>
    <d v="2025-10-01T00:00:00"/>
    <d v="2025-10-05T00:00:00"/>
    <d v="2025-10-07T00:00:00"/>
    <d v="2025-10-10T00:00:00"/>
    <x v="0"/>
    <x v="0"/>
    <d v="2025-10-22T00:00:00"/>
    <n v="6"/>
    <n v="4"/>
    <n v="2"/>
    <n v="3"/>
  </r>
  <r>
    <s v="L1581"/>
    <x v="3"/>
    <x v="0"/>
    <d v="2025-10-02T00:00:00"/>
    <d v="2025-10-03T00:00:00"/>
    <d v="2025-10-08T00:00:00"/>
    <d v="2025-10-13T00:00:00"/>
    <x v="0"/>
    <x v="0"/>
    <d v="2025-11-02T00:00:00"/>
    <n v="3"/>
    <n v="1"/>
    <n v="5"/>
    <n v="5"/>
  </r>
  <r>
    <s v="L1582"/>
    <x v="3"/>
    <x v="0"/>
    <d v="2025-10-11T00:00:00"/>
    <d v="2025-10-14T00:00:00"/>
    <d v="2025-10-18T00:00:00"/>
    <d v="2025-10-22T00:00:00"/>
    <x v="0"/>
    <x v="0"/>
    <d v="2025-11-09T00:00:00"/>
    <n v="1"/>
    <n v="3"/>
    <n v="4"/>
    <n v="4"/>
  </r>
  <r>
    <s v="L1583"/>
    <x v="3"/>
    <x v="0"/>
    <d v="2025-10-26T00:00:00"/>
    <d v="2025-10-28T00:00:00"/>
    <d v="2025-10-30T00:00:00"/>
    <d v="2025-11-05T00:00:00"/>
    <x v="0"/>
    <x v="0"/>
    <d v="2025-12-05T00:00:00"/>
    <n v="5"/>
    <n v="2"/>
    <n v="2"/>
    <n v="6"/>
  </r>
  <r>
    <s v="L1584"/>
    <x v="3"/>
    <x v="0"/>
    <d v="2025-10-02T00:00:00"/>
    <d v="2025-10-03T00:00:00"/>
    <d v="2025-10-08T00:00:00"/>
    <d v="2025-10-14T00:00:00"/>
    <x v="1"/>
    <x v="3"/>
    <m/>
    <m/>
    <n v="1"/>
    <n v="5"/>
    <n v="6"/>
  </r>
  <r>
    <s v="L1585"/>
    <x v="3"/>
    <x v="2"/>
    <d v="2025-10-10T00:00:00"/>
    <d v="2025-10-12T00:00:00"/>
    <d v="2025-10-13T00:00:00"/>
    <d v="2025-10-20T00:00:00"/>
    <x v="0"/>
    <x v="0"/>
    <d v="2025-11-09T00:00:00"/>
    <n v="5"/>
    <n v="2"/>
    <n v="1"/>
    <n v="7"/>
  </r>
  <r>
    <s v="L1586"/>
    <x v="0"/>
    <x v="0"/>
    <d v="2025-10-12T00:00:00"/>
    <d v="2025-10-13T00:00:00"/>
    <d v="2025-10-18T00:00:00"/>
    <d v="2025-10-22T00:00:00"/>
    <x v="0"/>
    <x v="0"/>
    <d v="2025-11-09T00:00:00"/>
    <n v="8"/>
    <n v="1"/>
    <n v="5"/>
    <n v="4"/>
  </r>
  <r>
    <s v="L1587"/>
    <x v="3"/>
    <x v="1"/>
    <d v="2025-10-12T00:00:00"/>
    <m/>
    <m/>
    <m/>
    <x v="1"/>
    <x v="3"/>
    <m/>
    <m/>
    <m/>
    <n v="0"/>
    <n v="0"/>
  </r>
  <r>
    <s v="L1588"/>
    <x v="0"/>
    <x v="0"/>
    <d v="2025-10-14T00:00:00"/>
    <d v="2025-10-17T00:00:00"/>
    <d v="2025-10-18T00:00:00"/>
    <d v="2025-10-21T00:00:00"/>
    <x v="1"/>
    <x v="5"/>
    <m/>
    <m/>
    <n v="3"/>
    <n v="1"/>
    <n v="3"/>
  </r>
  <r>
    <s v="L1589"/>
    <x v="3"/>
    <x v="0"/>
    <d v="2025-10-05T00:00:00"/>
    <d v="2025-10-08T00:00:00"/>
    <d v="2025-10-09T00:00:00"/>
    <d v="2025-10-13T00:00:00"/>
    <x v="0"/>
    <x v="0"/>
    <d v="2025-10-31T00:00:00"/>
    <n v="9"/>
    <n v="3"/>
    <n v="1"/>
    <n v="4"/>
  </r>
  <r>
    <s v="L1590"/>
    <x v="2"/>
    <x v="1"/>
    <d v="2025-10-08T00:00:00"/>
    <m/>
    <m/>
    <m/>
    <x v="1"/>
    <x v="4"/>
    <m/>
    <m/>
    <m/>
    <n v="0"/>
    <n v="0"/>
  </r>
  <r>
    <s v="L1591"/>
    <x v="1"/>
    <x v="0"/>
    <d v="2025-10-17T00:00:00"/>
    <d v="2025-10-22T00:00:00"/>
    <d v="2025-10-23T00:00:00"/>
    <d v="2025-10-26T00:00:00"/>
    <x v="0"/>
    <x v="0"/>
    <d v="2025-11-25T00:00:00"/>
    <n v="0"/>
    <n v="5"/>
    <n v="1"/>
    <n v="3"/>
  </r>
  <r>
    <s v="L1592"/>
    <x v="0"/>
    <x v="2"/>
    <d v="2025-10-14T00:00:00"/>
    <d v="2025-10-18T00:00:00"/>
    <d v="2025-10-19T00:00:00"/>
    <d v="2025-10-26T00:00:00"/>
    <x v="1"/>
    <x v="1"/>
    <m/>
    <m/>
    <n v="4"/>
    <n v="1"/>
    <n v="7"/>
  </r>
  <r>
    <s v="L1593"/>
    <x v="3"/>
    <x v="0"/>
    <d v="2025-10-19T00:00:00"/>
    <d v="2025-10-24T00:00:00"/>
    <d v="2025-10-28T00:00:00"/>
    <d v="2025-11-01T00:00:00"/>
    <x v="0"/>
    <x v="0"/>
    <d v="2025-12-01T00:00:00"/>
    <n v="7"/>
    <n v="5"/>
    <n v="4"/>
    <n v="4"/>
  </r>
  <r>
    <s v="L1594"/>
    <x v="2"/>
    <x v="0"/>
    <d v="2025-10-22T00:00:00"/>
    <d v="2025-10-26T00:00:00"/>
    <d v="2025-10-28T00:00:00"/>
    <d v="2025-11-04T00:00:00"/>
    <x v="0"/>
    <x v="0"/>
    <d v="2025-11-23T00:00:00"/>
    <n v="2"/>
    <n v="4"/>
    <n v="2"/>
    <n v="7"/>
  </r>
  <r>
    <s v="L1595"/>
    <x v="1"/>
    <x v="0"/>
    <d v="2025-10-26T00:00:00"/>
    <d v="2025-10-29T00:00:00"/>
    <d v="2025-10-31T00:00:00"/>
    <d v="2025-11-02T00:00:00"/>
    <x v="0"/>
    <x v="0"/>
    <d v="2025-11-18T00:00:00"/>
    <n v="8"/>
    <n v="3"/>
    <n v="2"/>
    <n v="2"/>
  </r>
  <r>
    <s v="L1596"/>
    <x v="0"/>
    <x v="0"/>
    <d v="2025-10-06T00:00:00"/>
    <d v="2025-10-07T00:00:00"/>
    <d v="2025-10-08T00:00:00"/>
    <d v="2025-10-10T00:00:00"/>
    <x v="1"/>
    <x v="1"/>
    <m/>
    <m/>
    <n v="1"/>
    <n v="1"/>
    <n v="2"/>
  </r>
  <r>
    <s v="L1597"/>
    <x v="1"/>
    <x v="0"/>
    <d v="2025-10-06T00:00:00"/>
    <d v="2025-10-08T00:00:00"/>
    <d v="2025-10-10T00:00:00"/>
    <d v="2025-10-14T00:00:00"/>
    <x v="0"/>
    <x v="0"/>
    <d v="2025-10-28T00:00:00"/>
    <n v="3"/>
    <n v="2"/>
    <n v="2"/>
    <n v="4"/>
  </r>
  <r>
    <s v="L1598"/>
    <x v="2"/>
    <x v="0"/>
    <d v="2025-10-06T00:00:00"/>
    <d v="2025-10-09T00:00:00"/>
    <d v="2025-10-10T00:00:00"/>
    <d v="2025-10-15T00:00:00"/>
    <x v="0"/>
    <x v="0"/>
    <d v="2025-11-10T00:00:00"/>
    <n v="1"/>
    <n v="3"/>
    <n v="1"/>
    <n v="5"/>
  </r>
  <r>
    <s v="L1599"/>
    <x v="0"/>
    <x v="0"/>
    <d v="2025-10-03T00:00:00"/>
    <d v="2025-10-06T00:00:00"/>
    <d v="2025-10-08T00:00:00"/>
    <d v="2025-10-12T00:00:00"/>
    <x v="0"/>
    <x v="0"/>
    <d v="2025-10-29T00:00:00"/>
    <n v="4"/>
    <n v="3"/>
    <n v="2"/>
    <n v="4"/>
  </r>
  <r>
    <s v="L1600"/>
    <x v="1"/>
    <x v="1"/>
    <d v="2025-10-20T00:00:00"/>
    <m/>
    <m/>
    <m/>
    <x v="1"/>
    <x v="5"/>
    <m/>
    <m/>
    <m/>
    <n v="0"/>
    <n v="0"/>
  </r>
  <r>
    <s v="L1601"/>
    <x v="3"/>
    <x v="0"/>
    <d v="2025-10-28T00:00:00"/>
    <d v="2025-10-29T00:00:00"/>
    <d v="2025-11-03T00:00:00"/>
    <d v="2025-11-09T00:00:00"/>
    <x v="0"/>
    <x v="0"/>
    <d v="2025-11-20T00:00:00"/>
    <n v="3"/>
    <n v="1"/>
    <n v="5"/>
    <n v="6"/>
  </r>
  <r>
    <s v="L1602"/>
    <x v="0"/>
    <x v="2"/>
    <d v="2025-10-13T00:00:00"/>
    <d v="2025-10-16T00:00:00"/>
    <d v="2025-10-20T00:00:00"/>
    <d v="2025-10-22T00:00:00"/>
    <x v="0"/>
    <x v="0"/>
    <d v="2025-11-20T00:00:00"/>
    <n v="8"/>
    <n v="3"/>
    <n v="4"/>
    <n v="2"/>
  </r>
  <r>
    <s v="L1603"/>
    <x v="1"/>
    <x v="0"/>
    <d v="2025-10-20T00:00:00"/>
    <d v="2025-10-23T00:00:00"/>
    <d v="2025-10-26T00:00:00"/>
    <d v="2025-10-30T00:00:00"/>
    <x v="0"/>
    <x v="0"/>
    <d v="2025-11-21T00:00:00"/>
    <n v="6"/>
    <n v="3"/>
    <n v="3"/>
    <n v="4"/>
  </r>
  <r>
    <s v="L1604"/>
    <x v="2"/>
    <x v="2"/>
    <d v="2025-10-22T00:00:00"/>
    <d v="2025-10-23T00:00:00"/>
    <d v="2025-10-24T00:00:00"/>
    <d v="2025-10-31T00:00:00"/>
    <x v="0"/>
    <x v="0"/>
    <d v="2025-11-20T00:00:00"/>
    <n v="9"/>
    <n v="1"/>
    <n v="1"/>
    <n v="7"/>
  </r>
  <r>
    <s v="L1605"/>
    <x v="2"/>
    <x v="0"/>
    <d v="2025-10-08T00:00:00"/>
    <d v="2025-10-11T00:00:00"/>
    <d v="2025-10-16T00:00:00"/>
    <d v="2025-10-22T00:00:00"/>
    <x v="0"/>
    <x v="0"/>
    <d v="2025-11-05T00:00:00"/>
    <n v="3"/>
    <n v="3"/>
    <n v="5"/>
    <n v="6"/>
  </r>
  <r>
    <s v="L1606"/>
    <x v="0"/>
    <x v="0"/>
    <d v="2025-10-16T00:00:00"/>
    <d v="2025-10-20T00:00:00"/>
    <d v="2025-10-25T00:00:00"/>
    <d v="2025-11-01T00:00:00"/>
    <x v="0"/>
    <x v="0"/>
    <d v="2025-11-11T00:00:00"/>
    <n v="2"/>
    <n v="4"/>
    <n v="5"/>
    <n v="7"/>
  </r>
  <r>
    <s v="L1607"/>
    <x v="1"/>
    <x v="2"/>
    <d v="2025-10-30T00:00:00"/>
    <d v="2025-11-03T00:00:00"/>
    <d v="2025-11-07T00:00:00"/>
    <d v="2025-11-09T00:00:00"/>
    <x v="0"/>
    <x v="0"/>
    <d v="2025-12-09T00:00:00"/>
    <n v="4"/>
    <n v="4"/>
    <n v="4"/>
    <n v="2"/>
  </r>
  <r>
    <s v="L1608"/>
    <x v="0"/>
    <x v="0"/>
    <d v="2025-10-19T00:00:00"/>
    <d v="2025-10-23T00:00:00"/>
    <d v="2025-10-27T00:00:00"/>
    <d v="2025-11-01T00:00:00"/>
    <x v="0"/>
    <x v="0"/>
    <d v="2025-11-26T00:00:00"/>
    <n v="0"/>
    <n v="4"/>
    <n v="4"/>
    <n v="5"/>
  </r>
  <r>
    <s v="L1609"/>
    <x v="0"/>
    <x v="2"/>
    <d v="2025-10-05T00:00:00"/>
    <d v="2025-10-09T00:00:00"/>
    <d v="2025-10-10T00:00:00"/>
    <d v="2025-10-15T00:00:00"/>
    <x v="0"/>
    <x v="0"/>
    <d v="2025-11-03T00:00:00"/>
    <n v="1"/>
    <n v="4"/>
    <n v="1"/>
    <n v="5"/>
  </r>
  <r>
    <s v="L1610"/>
    <x v="1"/>
    <x v="2"/>
    <d v="2025-10-08T00:00:00"/>
    <d v="2025-10-11T00:00:00"/>
    <d v="2025-10-12T00:00:00"/>
    <d v="2025-10-18T00:00:00"/>
    <x v="0"/>
    <x v="0"/>
    <d v="2025-11-05T00:00:00"/>
    <n v="1"/>
    <n v="3"/>
    <n v="1"/>
    <n v="6"/>
  </r>
  <r>
    <s v="L1611"/>
    <x v="1"/>
    <x v="0"/>
    <d v="2025-10-15T00:00:00"/>
    <d v="2025-10-17T00:00:00"/>
    <d v="2025-10-22T00:00:00"/>
    <d v="2025-10-26T00:00:00"/>
    <x v="0"/>
    <x v="0"/>
    <d v="2025-11-18T00:00:00"/>
    <n v="2"/>
    <n v="2"/>
    <n v="5"/>
    <n v="4"/>
  </r>
  <r>
    <s v="L1612"/>
    <x v="3"/>
    <x v="0"/>
    <d v="2025-10-21T00:00:00"/>
    <d v="2025-10-25T00:00:00"/>
    <d v="2025-10-30T00:00:00"/>
    <d v="2025-11-01T00:00:00"/>
    <x v="0"/>
    <x v="0"/>
    <d v="2025-11-23T00:00:00"/>
    <n v="8"/>
    <n v="4"/>
    <n v="5"/>
    <n v="2"/>
  </r>
  <r>
    <s v="L1613"/>
    <x v="1"/>
    <x v="1"/>
    <d v="2025-10-09T00:00:00"/>
    <m/>
    <m/>
    <m/>
    <x v="1"/>
    <x v="5"/>
    <m/>
    <m/>
    <m/>
    <n v="0"/>
    <n v="0"/>
  </r>
  <r>
    <s v="L1614"/>
    <x v="2"/>
    <x v="0"/>
    <d v="2025-10-15T00:00:00"/>
    <d v="2025-10-19T00:00:00"/>
    <d v="2025-10-23T00:00:00"/>
    <d v="2025-10-28T00:00:00"/>
    <x v="0"/>
    <x v="0"/>
    <d v="2025-11-19T00:00:00"/>
    <n v="6"/>
    <n v="4"/>
    <n v="4"/>
    <n v="5"/>
  </r>
  <r>
    <s v="L1615"/>
    <x v="0"/>
    <x v="0"/>
    <d v="2025-10-09T00:00:00"/>
    <d v="2025-10-12T00:00:00"/>
    <d v="2025-10-13T00:00:00"/>
    <d v="2025-10-19T00:00:00"/>
    <x v="0"/>
    <x v="0"/>
    <d v="2025-10-30T00:00:00"/>
    <n v="6"/>
    <n v="3"/>
    <n v="1"/>
    <n v="6"/>
  </r>
  <r>
    <s v="L1616"/>
    <x v="0"/>
    <x v="0"/>
    <d v="2025-10-22T00:00:00"/>
    <d v="2025-10-27T00:00:00"/>
    <d v="2025-10-28T00:00:00"/>
    <d v="2025-10-31T00:00:00"/>
    <x v="0"/>
    <x v="0"/>
    <d v="2025-11-28T00:00:00"/>
    <n v="3"/>
    <n v="5"/>
    <n v="1"/>
    <n v="3"/>
  </r>
  <r>
    <s v="L1617"/>
    <x v="2"/>
    <x v="2"/>
    <d v="2025-10-01T00:00:00"/>
    <d v="2025-10-04T00:00:00"/>
    <d v="2025-10-09T00:00:00"/>
    <d v="2025-10-13T00:00:00"/>
    <x v="0"/>
    <x v="0"/>
    <d v="2025-11-10T00:00:00"/>
    <n v="4"/>
    <n v="3"/>
    <n v="5"/>
    <n v="4"/>
  </r>
  <r>
    <s v="L1618"/>
    <x v="1"/>
    <x v="1"/>
    <d v="2025-10-29T00:00:00"/>
    <m/>
    <m/>
    <m/>
    <x v="1"/>
    <x v="5"/>
    <m/>
    <m/>
    <m/>
    <n v="0"/>
    <n v="0"/>
  </r>
  <r>
    <s v="L1619"/>
    <x v="2"/>
    <x v="0"/>
    <d v="2025-10-26T00:00:00"/>
    <d v="2025-10-27T00:00:00"/>
    <d v="2025-10-30T00:00:00"/>
    <d v="2025-11-02T00:00:00"/>
    <x v="1"/>
    <x v="4"/>
    <m/>
    <m/>
    <n v="1"/>
    <n v="3"/>
    <n v="3"/>
  </r>
  <r>
    <s v="L1620"/>
    <x v="2"/>
    <x v="0"/>
    <d v="2025-10-15T00:00:00"/>
    <d v="2025-10-19T00:00:00"/>
    <d v="2025-10-24T00:00:00"/>
    <d v="2025-10-28T00:00:00"/>
    <x v="1"/>
    <x v="3"/>
    <m/>
    <m/>
    <n v="4"/>
    <n v="5"/>
    <n v="4"/>
  </r>
  <r>
    <s v="L1621"/>
    <x v="3"/>
    <x v="2"/>
    <d v="2025-10-29T00:00:00"/>
    <d v="2025-10-30T00:00:00"/>
    <d v="2025-11-02T00:00:00"/>
    <d v="2025-11-04T00:00:00"/>
    <x v="0"/>
    <x v="0"/>
    <d v="2025-11-20T00:00:00"/>
    <n v="6"/>
    <n v="1"/>
    <n v="3"/>
    <n v="2"/>
  </r>
  <r>
    <s v="L1622"/>
    <x v="2"/>
    <x v="0"/>
    <d v="2025-10-10T00:00:00"/>
    <d v="2025-10-14T00:00:00"/>
    <d v="2025-10-15T00:00:00"/>
    <d v="2025-10-21T00:00:00"/>
    <x v="0"/>
    <x v="0"/>
    <d v="2025-11-10T00:00:00"/>
    <n v="9"/>
    <n v="4"/>
    <n v="1"/>
    <n v="6"/>
  </r>
  <r>
    <s v="L1623"/>
    <x v="0"/>
    <x v="0"/>
    <d v="2025-10-22T00:00:00"/>
    <d v="2025-10-27T00:00:00"/>
    <d v="2025-11-01T00:00:00"/>
    <d v="2025-11-08T00:00:00"/>
    <x v="0"/>
    <x v="0"/>
    <d v="2025-11-25T00:00:00"/>
    <n v="8"/>
    <n v="5"/>
    <n v="5"/>
    <n v="7"/>
  </r>
  <r>
    <s v="L1624"/>
    <x v="2"/>
    <x v="1"/>
    <d v="2025-10-18T00:00:00"/>
    <m/>
    <m/>
    <m/>
    <x v="1"/>
    <x v="5"/>
    <m/>
    <m/>
    <m/>
    <n v="0"/>
    <n v="0"/>
  </r>
  <r>
    <s v="L1625"/>
    <x v="0"/>
    <x v="2"/>
    <d v="2025-10-06T00:00:00"/>
    <d v="2025-10-08T00:00:00"/>
    <d v="2025-10-12T00:00:00"/>
    <d v="2025-10-19T00:00:00"/>
    <x v="0"/>
    <x v="0"/>
    <d v="2025-11-15T00:00:00"/>
    <n v="0"/>
    <n v="2"/>
    <n v="4"/>
    <n v="7"/>
  </r>
  <r>
    <s v="L1626"/>
    <x v="0"/>
    <x v="0"/>
    <d v="2025-10-03T00:00:00"/>
    <d v="2025-10-08T00:00:00"/>
    <d v="2025-10-10T00:00:00"/>
    <d v="2025-10-12T00:00:00"/>
    <x v="0"/>
    <x v="0"/>
    <d v="2025-11-11T00:00:00"/>
    <n v="1"/>
    <n v="5"/>
    <n v="2"/>
    <n v="2"/>
  </r>
  <r>
    <s v="L1627"/>
    <x v="0"/>
    <x v="1"/>
    <d v="2025-10-15T00:00:00"/>
    <m/>
    <m/>
    <m/>
    <x v="1"/>
    <x v="5"/>
    <m/>
    <m/>
    <m/>
    <n v="0"/>
    <n v="0"/>
  </r>
  <r>
    <s v="L1628"/>
    <x v="1"/>
    <x v="0"/>
    <d v="2025-10-31T00:00:00"/>
    <d v="2025-11-03T00:00:00"/>
    <d v="2025-11-04T00:00:00"/>
    <d v="2025-11-07T00:00:00"/>
    <x v="1"/>
    <x v="2"/>
    <m/>
    <m/>
    <n v="3"/>
    <n v="1"/>
    <n v="3"/>
  </r>
  <r>
    <s v="L1629"/>
    <x v="3"/>
    <x v="0"/>
    <d v="2025-10-12T00:00:00"/>
    <d v="2025-10-15T00:00:00"/>
    <d v="2025-10-16T00:00:00"/>
    <d v="2025-10-23T00:00:00"/>
    <x v="0"/>
    <x v="0"/>
    <d v="2025-11-17T00:00:00"/>
    <n v="3"/>
    <n v="3"/>
    <n v="1"/>
    <n v="7"/>
  </r>
  <r>
    <s v="L1630"/>
    <x v="0"/>
    <x v="2"/>
    <d v="2025-10-19T00:00:00"/>
    <d v="2025-10-20T00:00:00"/>
    <d v="2025-10-25T00:00:00"/>
    <d v="2025-10-31T00:00:00"/>
    <x v="0"/>
    <x v="0"/>
    <d v="2025-11-21T00:00:00"/>
    <n v="1"/>
    <n v="1"/>
    <n v="5"/>
    <n v="6"/>
  </r>
  <r>
    <s v="L1631"/>
    <x v="0"/>
    <x v="1"/>
    <d v="2025-10-10T00:00:00"/>
    <m/>
    <m/>
    <m/>
    <x v="1"/>
    <x v="4"/>
    <m/>
    <m/>
    <m/>
    <n v="0"/>
    <n v="0"/>
  </r>
  <r>
    <s v="L1632"/>
    <x v="1"/>
    <x v="2"/>
    <d v="2025-10-21T00:00:00"/>
    <d v="2025-10-22T00:00:00"/>
    <d v="2025-10-24T00:00:00"/>
    <d v="2025-10-26T00:00:00"/>
    <x v="0"/>
    <x v="0"/>
    <d v="2025-11-21T00:00:00"/>
    <n v="9"/>
    <n v="1"/>
    <n v="2"/>
    <n v="2"/>
  </r>
  <r>
    <s v="L1633"/>
    <x v="0"/>
    <x v="0"/>
    <d v="2025-10-31T00:00:00"/>
    <d v="2025-11-03T00:00:00"/>
    <d v="2025-11-05T00:00:00"/>
    <d v="2025-11-07T00:00:00"/>
    <x v="0"/>
    <x v="0"/>
    <d v="2025-11-26T00:00:00"/>
    <n v="3"/>
    <n v="3"/>
    <n v="2"/>
    <n v="2"/>
  </r>
  <r>
    <s v="L1634"/>
    <x v="2"/>
    <x v="0"/>
    <d v="2025-10-14T00:00:00"/>
    <d v="2025-10-17T00:00:00"/>
    <d v="2025-10-19T00:00:00"/>
    <d v="2025-10-21T00:00:00"/>
    <x v="0"/>
    <x v="0"/>
    <d v="2025-11-05T00:00:00"/>
    <n v="5"/>
    <n v="3"/>
    <n v="2"/>
    <n v="2"/>
  </r>
  <r>
    <s v="L1635"/>
    <x v="2"/>
    <x v="2"/>
    <d v="2025-10-23T00:00:00"/>
    <d v="2025-10-26T00:00:00"/>
    <d v="2025-10-31T00:00:00"/>
    <d v="2025-11-03T00:00:00"/>
    <x v="1"/>
    <x v="5"/>
    <m/>
    <m/>
    <n v="3"/>
    <n v="5"/>
    <n v="3"/>
  </r>
  <r>
    <s v="L1636"/>
    <x v="3"/>
    <x v="0"/>
    <d v="2025-10-09T00:00:00"/>
    <d v="2025-10-13T00:00:00"/>
    <d v="2025-10-18T00:00:00"/>
    <d v="2025-10-20T00:00:00"/>
    <x v="0"/>
    <x v="0"/>
    <d v="2025-11-16T00:00:00"/>
    <n v="3"/>
    <n v="4"/>
    <n v="5"/>
    <n v="2"/>
  </r>
  <r>
    <s v="L1637"/>
    <x v="0"/>
    <x v="2"/>
    <d v="2025-10-15T00:00:00"/>
    <d v="2025-10-20T00:00:00"/>
    <d v="2025-10-23T00:00:00"/>
    <d v="2025-10-28T00:00:00"/>
    <x v="0"/>
    <x v="0"/>
    <d v="2025-11-12T00:00:00"/>
    <n v="2"/>
    <n v="5"/>
    <n v="3"/>
    <n v="5"/>
  </r>
  <r>
    <s v="L1638"/>
    <x v="1"/>
    <x v="2"/>
    <d v="2025-10-28T00:00:00"/>
    <d v="2025-11-01T00:00:00"/>
    <d v="2025-11-04T00:00:00"/>
    <d v="2025-11-08T00:00:00"/>
    <x v="0"/>
    <x v="0"/>
    <d v="2025-11-27T00:00:00"/>
    <n v="1"/>
    <n v="4"/>
    <n v="3"/>
    <n v="4"/>
  </r>
  <r>
    <s v="L1639"/>
    <x v="2"/>
    <x v="0"/>
    <d v="2025-10-10T00:00:00"/>
    <d v="2025-10-12T00:00:00"/>
    <d v="2025-10-15T00:00:00"/>
    <d v="2025-10-20T00:00:00"/>
    <x v="0"/>
    <x v="0"/>
    <d v="2025-11-02T00:00:00"/>
    <n v="8"/>
    <n v="2"/>
    <n v="3"/>
    <n v="5"/>
  </r>
  <r>
    <s v="L1640"/>
    <x v="1"/>
    <x v="1"/>
    <d v="2025-10-07T00:00:00"/>
    <m/>
    <m/>
    <m/>
    <x v="1"/>
    <x v="2"/>
    <m/>
    <m/>
    <m/>
    <n v="0"/>
    <n v="0"/>
  </r>
  <r>
    <s v="L1641"/>
    <x v="1"/>
    <x v="0"/>
    <d v="2025-10-13T00:00:00"/>
    <d v="2025-10-17T00:00:00"/>
    <d v="2025-10-21T00:00:00"/>
    <d v="2025-10-24T00:00:00"/>
    <x v="0"/>
    <x v="0"/>
    <d v="2025-11-18T00:00:00"/>
    <n v="9"/>
    <n v="4"/>
    <n v="4"/>
    <n v="3"/>
  </r>
  <r>
    <s v="L1642"/>
    <x v="2"/>
    <x v="0"/>
    <d v="2025-10-28T00:00:00"/>
    <d v="2025-10-31T00:00:00"/>
    <d v="2025-11-01T00:00:00"/>
    <d v="2025-11-04T00:00:00"/>
    <x v="0"/>
    <x v="0"/>
    <d v="2025-11-18T00:00:00"/>
    <n v="4"/>
    <n v="3"/>
    <n v="1"/>
    <n v="3"/>
  </r>
  <r>
    <s v="L1643"/>
    <x v="1"/>
    <x v="2"/>
    <d v="2025-10-16T00:00:00"/>
    <d v="2025-10-20T00:00:00"/>
    <d v="2025-10-23T00:00:00"/>
    <d v="2025-10-25T00:00:00"/>
    <x v="0"/>
    <x v="0"/>
    <d v="2025-11-12T00:00:00"/>
    <n v="4"/>
    <n v="4"/>
    <n v="3"/>
    <n v="2"/>
  </r>
  <r>
    <s v="L1644"/>
    <x v="2"/>
    <x v="2"/>
    <d v="2025-10-04T00:00:00"/>
    <d v="2025-10-05T00:00:00"/>
    <d v="2025-10-09T00:00:00"/>
    <d v="2025-10-15T00:00:00"/>
    <x v="0"/>
    <x v="0"/>
    <d v="2025-11-11T00:00:00"/>
    <n v="1"/>
    <n v="1"/>
    <n v="4"/>
    <n v="6"/>
  </r>
  <r>
    <s v="L1645"/>
    <x v="1"/>
    <x v="2"/>
    <d v="2025-10-08T00:00:00"/>
    <d v="2025-10-11T00:00:00"/>
    <d v="2025-10-15T00:00:00"/>
    <d v="2025-10-22T00:00:00"/>
    <x v="0"/>
    <x v="0"/>
    <d v="2025-11-06T00:00:00"/>
    <n v="0"/>
    <n v="3"/>
    <n v="4"/>
    <n v="7"/>
  </r>
  <r>
    <s v="L1646"/>
    <x v="2"/>
    <x v="2"/>
    <d v="2025-10-13T00:00:00"/>
    <d v="2025-10-18T00:00:00"/>
    <d v="2025-10-23T00:00:00"/>
    <d v="2025-10-30T00:00:00"/>
    <x v="0"/>
    <x v="0"/>
    <d v="2025-11-19T00:00:00"/>
    <n v="6"/>
    <n v="5"/>
    <n v="5"/>
    <n v="7"/>
  </r>
  <r>
    <s v="L1647"/>
    <x v="0"/>
    <x v="0"/>
    <d v="2025-10-19T00:00:00"/>
    <d v="2025-10-23T00:00:00"/>
    <d v="2025-10-25T00:00:00"/>
    <d v="2025-11-01T00:00:00"/>
    <x v="0"/>
    <x v="0"/>
    <d v="2025-12-01T00:00:00"/>
    <n v="5"/>
    <n v="4"/>
    <n v="2"/>
    <n v="7"/>
  </r>
  <r>
    <s v="L1648"/>
    <x v="3"/>
    <x v="0"/>
    <d v="2025-10-12T00:00:00"/>
    <d v="2025-10-15T00:00:00"/>
    <d v="2025-10-17T00:00:00"/>
    <d v="2025-10-22T00:00:00"/>
    <x v="0"/>
    <x v="0"/>
    <d v="2025-11-03T00:00:00"/>
    <n v="0"/>
    <n v="3"/>
    <n v="2"/>
    <n v="5"/>
  </r>
  <r>
    <s v="L1649"/>
    <x v="2"/>
    <x v="0"/>
    <d v="2025-10-19T00:00:00"/>
    <d v="2025-10-20T00:00:00"/>
    <d v="2025-10-23T00:00:00"/>
    <d v="2025-10-26T00:00:00"/>
    <x v="1"/>
    <x v="1"/>
    <m/>
    <m/>
    <n v="1"/>
    <n v="3"/>
    <n v="3"/>
  </r>
  <r>
    <s v="L1650"/>
    <x v="2"/>
    <x v="2"/>
    <d v="2025-10-10T00:00:00"/>
    <d v="2025-10-11T00:00:00"/>
    <d v="2025-10-12T00:00:00"/>
    <d v="2025-10-16T00:00:00"/>
    <x v="1"/>
    <x v="5"/>
    <m/>
    <m/>
    <n v="1"/>
    <n v="1"/>
    <n v="4"/>
  </r>
  <r>
    <s v="L1651"/>
    <x v="3"/>
    <x v="0"/>
    <d v="2025-10-23T00:00:00"/>
    <d v="2025-10-27T00:00:00"/>
    <d v="2025-10-28T00:00:00"/>
    <d v="2025-10-31T00:00:00"/>
    <x v="1"/>
    <x v="5"/>
    <m/>
    <m/>
    <n v="4"/>
    <n v="1"/>
    <n v="3"/>
  </r>
  <r>
    <s v="L1652"/>
    <x v="2"/>
    <x v="1"/>
    <d v="2025-10-10T00:00:00"/>
    <m/>
    <m/>
    <m/>
    <x v="1"/>
    <x v="2"/>
    <m/>
    <m/>
    <m/>
    <n v="0"/>
    <n v="0"/>
  </r>
  <r>
    <s v="L1653"/>
    <x v="2"/>
    <x v="2"/>
    <d v="2025-10-01T00:00:00"/>
    <d v="2025-10-04T00:00:00"/>
    <d v="2025-10-05T00:00:00"/>
    <d v="2025-10-10T00:00:00"/>
    <x v="0"/>
    <x v="0"/>
    <d v="2025-10-27T00:00:00"/>
    <n v="3"/>
    <n v="3"/>
    <n v="1"/>
    <n v="5"/>
  </r>
  <r>
    <s v="L1654"/>
    <x v="1"/>
    <x v="1"/>
    <d v="2025-10-27T00:00:00"/>
    <m/>
    <m/>
    <m/>
    <x v="1"/>
    <x v="4"/>
    <m/>
    <m/>
    <m/>
    <n v="0"/>
    <n v="0"/>
  </r>
  <r>
    <s v="L1655"/>
    <x v="3"/>
    <x v="1"/>
    <d v="2025-10-22T00:00:00"/>
    <m/>
    <m/>
    <m/>
    <x v="1"/>
    <x v="5"/>
    <m/>
    <m/>
    <m/>
    <n v="0"/>
    <n v="0"/>
  </r>
  <r>
    <s v="L1656"/>
    <x v="0"/>
    <x v="2"/>
    <d v="2025-10-13T00:00:00"/>
    <d v="2025-10-18T00:00:00"/>
    <d v="2025-10-22T00:00:00"/>
    <d v="2025-10-29T00:00:00"/>
    <x v="0"/>
    <x v="0"/>
    <d v="2025-11-19T00:00:00"/>
    <n v="2"/>
    <n v="5"/>
    <n v="4"/>
    <n v="7"/>
  </r>
  <r>
    <s v="L1657"/>
    <x v="2"/>
    <x v="0"/>
    <d v="2025-10-09T00:00:00"/>
    <d v="2025-10-11T00:00:00"/>
    <d v="2025-10-15T00:00:00"/>
    <d v="2025-10-19T00:00:00"/>
    <x v="1"/>
    <x v="1"/>
    <m/>
    <m/>
    <n v="2"/>
    <n v="4"/>
    <n v="4"/>
  </r>
  <r>
    <s v="L1658"/>
    <x v="3"/>
    <x v="0"/>
    <d v="2025-10-01T00:00:00"/>
    <d v="2025-10-02T00:00:00"/>
    <d v="2025-10-06T00:00:00"/>
    <d v="2025-10-10T00:00:00"/>
    <x v="1"/>
    <x v="5"/>
    <m/>
    <m/>
    <n v="1"/>
    <n v="4"/>
    <n v="4"/>
  </r>
  <r>
    <s v="L1659"/>
    <x v="1"/>
    <x v="0"/>
    <d v="2025-10-19T00:00:00"/>
    <d v="2025-10-21T00:00:00"/>
    <d v="2025-10-26T00:00:00"/>
    <d v="2025-10-28T00:00:00"/>
    <x v="0"/>
    <x v="0"/>
    <d v="2025-11-14T00:00:00"/>
    <n v="2"/>
    <n v="2"/>
    <n v="5"/>
    <n v="2"/>
  </r>
  <r>
    <s v="L1660"/>
    <x v="0"/>
    <x v="0"/>
    <d v="2025-10-28T00:00:00"/>
    <d v="2025-11-02T00:00:00"/>
    <d v="2025-11-06T00:00:00"/>
    <d v="2025-11-12T00:00:00"/>
    <x v="0"/>
    <x v="0"/>
    <d v="2025-12-01T00:00:00"/>
    <n v="1"/>
    <n v="5"/>
    <n v="4"/>
    <n v="6"/>
  </r>
  <r>
    <s v="L1661"/>
    <x v="3"/>
    <x v="0"/>
    <d v="2025-10-22T00:00:00"/>
    <d v="2025-10-26T00:00:00"/>
    <d v="2025-10-27T00:00:00"/>
    <d v="2025-10-31T00:00:00"/>
    <x v="0"/>
    <x v="0"/>
    <d v="2025-11-23T00:00:00"/>
    <n v="9"/>
    <n v="4"/>
    <n v="1"/>
    <n v="4"/>
  </r>
  <r>
    <s v="L1662"/>
    <x v="0"/>
    <x v="0"/>
    <d v="2025-10-25T00:00:00"/>
    <d v="2025-10-26T00:00:00"/>
    <d v="2025-10-27T00:00:00"/>
    <d v="2025-10-29T00:00:00"/>
    <x v="0"/>
    <x v="0"/>
    <d v="2025-11-18T00:00:00"/>
    <n v="5"/>
    <n v="1"/>
    <n v="1"/>
    <n v="2"/>
  </r>
  <r>
    <s v="L1663"/>
    <x v="0"/>
    <x v="0"/>
    <d v="2025-10-24T00:00:00"/>
    <d v="2025-10-26T00:00:00"/>
    <d v="2025-10-28T00:00:00"/>
    <d v="2025-11-03T00:00:00"/>
    <x v="0"/>
    <x v="0"/>
    <d v="2025-11-24T00:00:00"/>
    <n v="4"/>
    <n v="2"/>
    <n v="2"/>
    <n v="6"/>
  </r>
  <r>
    <s v="L1664"/>
    <x v="0"/>
    <x v="0"/>
    <d v="2025-10-02T00:00:00"/>
    <d v="2025-10-03T00:00:00"/>
    <d v="2025-10-04T00:00:00"/>
    <d v="2025-10-11T00:00:00"/>
    <x v="0"/>
    <x v="0"/>
    <d v="2025-10-29T00:00:00"/>
    <n v="9"/>
    <n v="1"/>
    <n v="1"/>
    <n v="7"/>
  </r>
  <r>
    <s v="L1665"/>
    <x v="2"/>
    <x v="0"/>
    <d v="2025-10-30T00:00:00"/>
    <d v="2025-11-01T00:00:00"/>
    <d v="2025-11-05T00:00:00"/>
    <d v="2025-11-07T00:00:00"/>
    <x v="0"/>
    <x v="0"/>
    <d v="2025-12-05T00:00:00"/>
    <n v="2"/>
    <n v="2"/>
    <n v="4"/>
    <n v="2"/>
  </r>
  <r>
    <s v="L1666"/>
    <x v="2"/>
    <x v="0"/>
    <d v="2025-10-20T00:00:00"/>
    <d v="2025-10-23T00:00:00"/>
    <d v="2025-10-27T00:00:00"/>
    <d v="2025-10-30T00:00:00"/>
    <x v="0"/>
    <x v="0"/>
    <d v="2025-11-18T00:00:00"/>
    <n v="7"/>
    <n v="3"/>
    <n v="4"/>
    <n v="3"/>
  </r>
  <r>
    <s v="L1667"/>
    <x v="1"/>
    <x v="0"/>
    <d v="2025-10-24T00:00:00"/>
    <d v="2025-10-27T00:00:00"/>
    <d v="2025-10-30T00:00:00"/>
    <d v="2025-11-02T00:00:00"/>
    <x v="0"/>
    <x v="0"/>
    <d v="2025-11-26T00:00:00"/>
    <n v="0"/>
    <n v="3"/>
    <n v="3"/>
    <n v="3"/>
  </r>
  <r>
    <s v="L1668"/>
    <x v="1"/>
    <x v="2"/>
    <d v="2025-10-16T00:00:00"/>
    <d v="2025-10-20T00:00:00"/>
    <d v="2025-10-25T00:00:00"/>
    <d v="2025-10-31T00:00:00"/>
    <x v="0"/>
    <x v="0"/>
    <d v="2025-11-13T00:00:00"/>
    <n v="2"/>
    <n v="4"/>
    <n v="5"/>
    <n v="6"/>
  </r>
  <r>
    <s v="L1669"/>
    <x v="3"/>
    <x v="2"/>
    <d v="2025-10-27T00:00:00"/>
    <d v="2025-11-01T00:00:00"/>
    <d v="2025-11-02T00:00:00"/>
    <d v="2025-11-04T00:00:00"/>
    <x v="1"/>
    <x v="1"/>
    <m/>
    <m/>
    <n v="5"/>
    <n v="1"/>
    <n v="2"/>
  </r>
  <r>
    <s v="L1670"/>
    <x v="1"/>
    <x v="1"/>
    <d v="2025-10-29T00:00:00"/>
    <m/>
    <m/>
    <m/>
    <x v="1"/>
    <x v="3"/>
    <m/>
    <m/>
    <m/>
    <n v="0"/>
    <n v="0"/>
  </r>
  <r>
    <s v="L1671"/>
    <x v="0"/>
    <x v="0"/>
    <d v="2025-10-29T00:00:00"/>
    <d v="2025-10-30T00:00:00"/>
    <d v="2025-11-04T00:00:00"/>
    <d v="2025-11-09T00:00:00"/>
    <x v="0"/>
    <x v="0"/>
    <d v="2025-12-04T00:00:00"/>
    <n v="0"/>
    <n v="1"/>
    <n v="5"/>
    <n v="5"/>
  </r>
  <r>
    <s v="L1672"/>
    <x v="0"/>
    <x v="2"/>
    <d v="2025-10-10T00:00:00"/>
    <d v="2025-10-15T00:00:00"/>
    <d v="2025-10-16T00:00:00"/>
    <d v="2025-10-18T00:00:00"/>
    <x v="0"/>
    <x v="0"/>
    <d v="2025-10-29T00:00:00"/>
    <n v="6"/>
    <n v="5"/>
    <n v="1"/>
    <n v="2"/>
  </r>
  <r>
    <s v="L1673"/>
    <x v="2"/>
    <x v="2"/>
    <d v="2025-10-25T00:00:00"/>
    <d v="2025-10-27T00:00:00"/>
    <d v="2025-10-29T00:00:00"/>
    <d v="2025-11-03T00:00:00"/>
    <x v="0"/>
    <x v="0"/>
    <d v="2025-12-03T00:00:00"/>
    <n v="10"/>
    <n v="2"/>
    <n v="2"/>
    <n v="5"/>
  </r>
  <r>
    <s v="L1674"/>
    <x v="0"/>
    <x v="2"/>
    <d v="2025-10-26T00:00:00"/>
    <d v="2025-10-30T00:00:00"/>
    <d v="2025-11-01T00:00:00"/>
    <d v="2025-11-05T00:00:00"/>
    <x v="0"/>
    <x v="0"/>
    <d v="2025-12-03T00:00:00"/>
    <n v="8"/>
    <n v="4"/>
    <n v="2"/>
    <n v="4"/>
  </r>
  <r>
    <s v="L1675"/>
    <x v="3"/>
    <x v="1"/>
    <d v="2025-10-08T00:00:00"/>
    <m/>
    <m/>
    <m/>
    <x v="1"/>
    <x v="3"/>
    <m/>
    <m/>
    <m/>
    <n v="0"/>
    <n v="0"/>
  </r>
  <r>
    <s v="L1676"/>
    <x v="0"/>
    <x v="0"/>
    <d v="2025-10-20T00:00:00"/>
    <d v="2025-10-23T00:00:00"/>
    <d v="2025-10-28T00:00:00"/>
    <d v="2025-11-01T00:00:00"/>
    <x v="0"/>
    <x v="0"/>
    <d v="2025-11-29T00:00:00"/>
    <n v="10"/>
    <n v="3"/>
    <n v="5"/>
    <n v="4"/>
  </r>
  <r>
    <s v="L1677"/>
    <x v="0"/>
    <x v="1"/>
    <d v="2025-10-26T00:00:00"/>
    <m/>
    <m/>
    <m/>
    <x v="1"/>
    <x v="1"/>
    <m/>
    <m/>
    <m/>
    <n v="0"/>
    <n v="0"/>
  </r>
  <r>
    <s v="L1678"/>
    <x v="3"/>
    <x v="0"/>
    <d v="2025-10-12T00:00:00"/>
    <d v="2025-10-15T00:00:00"/>
    <d v="2025-10-19T00:00:00"/>
    <d v="2025-10-23T00:00:00"/>
    <x v="1"/>
    <x v="4"/>
    <m/>
    <m/>
    <n v="3"/>
    <n v="4"/>
    <n v="4"/>
  </r>
  <r>
    <s v="L1679"/>
    <x v="1"/>
    <x v="0"/>
    <d v="2025-10-08T00:00:00"/>
    <d v="2025-10-12T00:00:00"/>
    <d v="2025-10-15T00:00:00"/>
    <d v="2025-10-17T00:00:00"/>
    <x v="0"/>
    <x v="0"/>
    <d v="2025-11-15T00:00:00"/>
    <n v="10"/>
    <n v="4"/>
    <n v="3"/>
    <n v="2"/>
  </r>
  <r>
    <s v="L1680"/>
    <x v="1"/>
    <x v="0"/>
    <d v="2025-10-21T00:00:00"/>
    <d v="2025-10-22T00:00:00"/>
    <d v="2025-10-23T00:00:00"/>
    <d v="2025-10-29T00:00:00"/>
    <x v="0"/>
    <x v="0"/>
    <d v="2025-11-10T00:00:00"/>
    <n v="2"/>
    <n v="1"/>
    <n v="1"/>
    <n v="6"/>
  </r>
  <r>
    <s v="L1681"/>
    <x v="3"/>
    <x v="0"/>
    <d v="2025-10-07T00:00:00"/>
    <d v="2025-10-12T00:00:00"/>
    <d v="2025-10-13T00:00:00"/>
    <d v="2025-10-18T00:00:00"/>
    <x v="0"/>
    <x v="0"/>
    <d v="2025-11-12T00:00:00"/>
    <n v="9"/>
    <n v="5"/>
    <n v="1"/>
    <n v="5"/>
  </r>
  <r>
    <s v="L1682"/>
    <x v="2"/>
    <x v="2"/>
    <d v="2025-10-20T00:00:00"/>
    <d v="2025-10-22T00:00:00"/>
    <d v="2025-10-25T00:00:00"/>
    <d v="2025-10-27T00:00:00"/>
    <x v="0"/>
    <x v="0"/>
    <d v="2025-11-12T00:00:00"/>
    <n v="8"/>
    <n v="2"/>
    <n v="3"/>
    <n v="2"/>
  </r>
  <r>
    <s v="L1683"/>
    <x v="0"/>
    <x v="1"/>
    <d v="2025-10-09T00:00:00"/>
    <m/>
    <m/>
    <m/>
    <x v="1"/>
    <x v="5"/>
    <m/>
    <m/>
    <m/>
    <n v="0"/>
    <n v="0"/>
  </r>
  <r>
    <s v="L1684"/>
    <x v="3"/>
    <x v="1"/>
    <d v="2025-10-22T00:00:00"/>
    <m/>
    <m/>
    <m/>
    <x v="1"/>
    <x v="5"/>
    <m/>
    <m/>
    <m/>
    <n v="0"/>
    <n v="0"/>
  </r>
  <r>
    <s v="L1685"/>
    <x v="0"/>
    <x v="0"/>
    <d v="2025-10-25T00:00:00"/>
    <d v="2025-10-30T00:00:00"/>
    <d v="2025-11-04T00:00:00"/>
    <d v="2025-11-08T00:00:00"/>
    <x v="0"/>
    <x v="0"/>
    <d v="2025-12-04T00:00:00"/>
    <n v="5"/>
    <n v="5"/>
    <n v="5"/>
    <n v="4"/>
  </r>
  <r>
    <s v="L1686"/>
    <x v="2"/>
    <x v="1"/>
    <d v="2025-10-24T00:00:00"/>
    <m/>
    <m/>
    <m/>
    <x v="1"/>
    <x v="3"/>
    <m/>
    <m/>
    <m/>
    <n v="0"/>
    <n v="0"/>
  </r>
  <r>
    <s v="L1687"/>
    <x v="0"/>
    <x v="1"/>
    <d v="2025-10-25T00:00:00"/>
    <m/>
    <m/>
    <m/>
    <x v="1"/>
    <x v="1"/>
    <m/>
    <m/>
    <m/>
    <n v="0"/>
    <n v="0"/>
  </r>
  <r>
    <s v="L1688"/>
    <x v="3"/>
    <x v="0"/>
    <d v="2025-10-22T00:00:00"/>
    <d v="2025-10-25T00:00:00"/>
    <d v="2025-10-30T00:00:00"/>
    <d v="2025-11-02T00:00:00"/>
    <x v="0"/>
    <x v="0"/>
    <d v="2025-11-15T00:00:00"/>
    <n v="5"/>
    <n v="3"/>
    <n v="5"/>
    <n v="3"/>
  </r>
  <r>
    <s v="L1689"/>
    <x v="0"/>
    <x v="2"/>
    <d v="2025-10-22T00:00:00"/>
    <d v="2025-10-26T00:00:00"/>
    <d v="2025-10-27T00:00:00"/>
    <d v="2025-10-31T00:00:00"/>
    <x v="0"/>
    <x v="0"/>
    <d v="2025-11-22T00:00:00"/>
    <n v="2"/>
    <n v="4"/>
    <n v="1"/>
    <n v="4"/>
  </r>
  <r>
    <s v="L1690"/>
    <x v="1"/>
    <x v="0"/>
    <d v="2025-10-27T00:00:00"/>
    <d v="2025-10-30T00:00:00"/>
    <d v="2025-11-01T00:00:00"/>
    <d v="2025-11-07T00:00:00"/>
    <x v="0"/>
    <x v="0"/>
    <d v="2025-12-03T00:00:00"/>
    <n v="7"/>
    <n v="3"/>
    <n v="2"/>
    <n v="6"/>
  </r>
  <r>
    <s v="L1691"/>
    <x v="2"/>
    <x v="0"/>
    <d v="2025-10-05T00:00:00"/>
    <d v="2025-10-08T00:00:00"/>
    <d v="2025-10-11T00:00:00"/>
    <d v="2025-10-15T00:00:00"/>
    <x v="0"/>
    <x v="0"/>
    <d v="2025-11-03T00:00:00"/>
    <n v="3"/>
    <n v="3"/>
    <n v="3"/>
    <n v="4"/>
  </r>
  <r>
    <s v="L1692"/>
    <x v="2"/>
    <x v="2"/>
    <d v="2025-10-21T00:00:00"/>
    <d v="2025-10-23T00:00:00"/>
    <d v="2025-10-24T00:00:00"/>
    <d v="2025-10-31T00:00:00"/>
    <x v="0"/>
    <x v="0"/>
    <d v="2025-11-23T00:00:00"/>
    <n v="8"/>
    <n v="2"/>
    <n v="1"/>
    <n v="7"/>
  </r>
  <r>
    <s v="L1693"/>
    <x v="2"/>
    <x v="2"/>
    <d v="2025-10-04T00:00:00"/>
    <d v="2025-10-05T00:00:00"/>
    <d v="2025-10-07T00:00:00"/>
    <d v="2025-10-13T00:00:00"/>
    <x v="0"/>
    <x v="0"/>
    <d v="2025-10-24T00:00:00"/>
    <n v="7"/>
    <n v="1"/>
    <n v="2"/>
    <n v="6"/>
  </r>
  <r>
    <s v="L1694"/>
    <x v="3"/>
    <x v="0"/>
    <d v="2025-10-29T00:00:00"/>
    <d v="2025-10-30T00:00:00"/>
    <d v="2025-11-04T00:00:00"/>
    <d v="2025-11-07T00:00:00"/>
    <x v="0"/>
    <x v="0"/>
    <d v="2025-11-21T00:00:00"/>
    <n v="2"/>
    <n v="1"/>
    <n v="5"/>
    <n v="3"/>
  </r>
  <r>
    <s v="L1695"/>
    <x v="2"/>
    <x v="2"/>
    <d v="2025-10-21T00:00:00"/>
    <d v="2025-10-23T00:00:00"/>
    <d v="2025-10-25T00:00:00"/>
    <d v="2025-10-30T00:00:00"/>
    <x v="0"/>
    <x v="0"/>
    <d v="2025-11-13T00:00:00"/>
    <n v="2"/>
    <n v="2"/>
    <n v="2"/>
    <n v="5"/>
  </r>
  <r>
    <s v="L1696"/>
    <x v="1"/>
    <x v="0"/>
    <d v="2025-10-21T00:00:00"/>
    <d v="2025-10-25T00:00:00"/>
    <d v="2025-10-29T00:00:00"/>
    <d v="2025-11-02T00:00:00"/>
    <x v="0"/>
    <x v="0"/>
    <d v="2025-11-18T00:00:00"/>
    <n v="9"/>
    <n v="4"/>
    <n v="4"/>
    <n v="4"/>
  </r>
  <r>
    <s v="L1697"/>
    <x v="3"/>
    <x v="1"/>
    <d v="2025-10-02T00:00:00"/>
    <m/>
    <m/>
    <m/>
    <x v="1"/>
    <x v="5"/>
    <m/>
    <m/>
    <m/>
    <n v="0"/>
    <n v="0"/>
  </r>
  <r>
    <s v="L1698"/>
    <x v="1"/>
    <x v="1"/>
    <d v="2025-10-10T00:00:00"/>
    <m/>
    <m/>
    <m/>
    <x v="1"/>
    <x v="5"/>
    <m/>
    <m/>
    <m/>
    <n v="0"/>
    <n v="0"/>
  </r>
  <r>
    <s v="L1699"/>
    <x v="0"/>
    <x v="2"/>
    <d v="2025-10-26T00:00:00"/>
    <d v="2025-10-31T00:00:00"/>
    <d v="2025-11-01T00:00:00"/>
    <d v="2025-11-07T00:00:00"/>
    <x v="0"/>
    <x v="0"/>
    <d v="2025-11-27T00:00:00"/>
    <n v="7"/>
    <n v="5"/>
    <n v="1"/>
    <n v="6"/>
  </r>
  <r>
    <s v="L1700"/>
    <x v="0"/>
    <x v="1"/>
    <d v="2025-10-15T00:00:00"/>
    <m/>
    <m/>
    <m/>
    <x v="1"/>
    <x v="4"/>
    <m/>
    <m/>
    <m/>
    <n v="0"/>
    <n v="0"/>
  </r>
  <r>
    <s v="L1701"/>
    <x v="0"/>
    <x v="2"/>
    <d v="2025-10-02T00:00:00"/>
    <d v="2025-10-06T00:00:00"/>
    <d v="2025-10-09T00:00:00"/>
    <d v="2025-10-14T00:00:00"/>
    <x v="0"/>
    <x v="0"/>
    <d v="2025-11-06T00:00:00"/>
    <n v="9"/>
    <n v="4"/>
    <n v="3"/>
    <n v="5"/>
  </r>
  <r>
    <s v="L1702"/>
    <x v="0"/>
    <x v="2"/>
    <d v="2025-10-19T00:00:00"/>
    <d v="2025-10-24T00:00:00"/>
    <d v="2025-10-26T00:00:00"/>
    <d v="2025-10-29T00:00:00"/>
    <x v="1"/>
    <x v="2"/>
    <m/>
    <m/>
    <n v="5"/>
    <n v="2"/>
    <n v="3"/>
  </r>
  <r>
    <s v="L1703"/>
    <x v="1"/>
    <x v="0"/>
    <d v="2025-10-12T00:00:00"/>
    <d v="2025-10-13T00:00:00"/>
    <d v="2025-10-18T00:00:00"/>
    <d v="2025-10-25T00:00:00"/>
    <x v="0"/>
    <x v="0"/>
    <d v="2025-11-22T00:00:00"/>
    <n v="2"/>
    <n v="1"/>
    <n v="5"/>
    <n v="7"/>
  </r>
  <r>
    <s v="L1704"/>
    <x v="3"/>
    <x v="0"/>
    <d v="2025-10-24T00:00:00"/>
    <d v="2025-10-27T00:00:00"/>
    <d v="2025-10-29T00:00:00"/>
    <d v="2025-11-04T00:00:00"/>
    <x v="0"/>
    <x v="0"/>
    <d v="2025-11-28T00:00:00"/>
    <n v="9"/>
    <n v="3"/>
    <n v="2"/>
    <n v="6"/>
  </r>
  <r>
    <s v="L1705"/>
    <x v="3"/>
    <x v="0"/>
    <d v="2025-10-05T00:00:00"/>
    <d v="2025-10-08T00:00:00"/>
    <d v="2025-10-13T00:00:00"/>
    <d v="2025-10-16T00:00:00"/>
    <x v="0"/>
    <x v="0"/>
    <d v="2025-10-30T00:00:00"/>
    <n v="2"/>
    <n v="3"/>
    <n v="5"/>
    <n v="3"/>
  </r>
  <r>
    <s v="L1706"/>
    <x v="2"/>
    <x v="0"/>
    <d v="2025-10-03T00:00:00"/>
    <d v="2025-10-07T00:00:00"/>
    <d v="2025-10-11T00:00:00"/>
    <d v="2025-10-14T00:00:00"/>
    <x v="0"/>
    <x v="0"/>
    <d v="2025-11-03T00:00:00"/>
    <n v="6"/>
    <n v="4"/>
    <n v="4"/>
    <n v="3"/>
  </r>
  <r>
    <s v="L1707"/>
    <x v="1"/>
    <x v="2"/>
    <d v="2025-10-30T00:00:00"/>
    <d v="2025-11-01T00:00:00"/>
    <d v="2025-11-06T00:00:00"/>
    <d v="2025-11-08T00:00:00"/>
    <x v="1"/>
    <x v="3"/>
    <m/>
    <m/>
    <n v="2"/>
    <n v="5"/>
    <n v="2"/>
  </r>
  <r>
    <s v="L1708"/>
    <x v="0"/>
    <x v="2"/>
    <d v="2025-10-10T00:00:00"/>
    <d v="2025-10-15T00:00:00"/>
    <d v="2025-10-18T00:00:00"/>
    <d v="2025-10-23T00:00:00"/>
    <x v="0"/>
    <x v="0"/>
    <d v="2025-11-07T00:00:00"/>
    <n v="2"/>
    <n v="5"/>
    <n v="3"/>
    <n v="5"/>
  </r>
  <r>
    <s v="L1709"/>
    <x v="1"/>
    <x v="0"/>
    <d v="2025-10-11T00:00:00"/>
    <d v="2025-10-14T00:00:00"/>
    <d v="2025-10-18T00:00:00"/>
    <d v="2025-10-20T00:00:00"/>
    <x v="0"/>
    <x v="0"/>
    <d v="2025-11-01T00:00:00"/>
    <n v="6"/>
    <n v="3"/>
    <n v="4"/>
    <n v="2"/>
  </r>
  <r>
    <s v="L1710"/>
    <x v="2"/>
    <x v="0"/>
    <d v="2025-10-24T00:00:00"/>
    <d v="2025-10-28T00:00:00"/>
    <d v="2025-10-30T00:00:00"/>
    <d v="2025-11-02T00:00:00"/>
    <x v="0"/>
    <x v="0"/>
    <d v="2025-11-27T00:00:00"/>
    <n v="8"/>
    <n v="4"/>
    <n v="2"/>
    <n v="3"/>
  </r>
  <r>
    <s v="L1711"/>
    <x v="2"/>
    <x v="0"/>
    <d v="2025-10-14T00:00:00"/>
    <d v="2025-10-16T00:00:00"/>
    <d v="2025-10-17T00:00:00"/>
    <d v="2025-10-23T00:00:00"/>
    <x v="0"/>
    <x v="0"/>
    <d v="2025-11-12T00:00:00"/>
    <n v="2"/>
    <n v="2"/>
    <n v="1"/>
    <n v="6"/>
  </r>
  <r>
    <s v="L1712"/>
    <x v="1"/>
    <x v="2"/>
    <d v="2025-10-06T00:00:00"/>
    <d v="2025-10-07T00:00:00"/>
    <d v="2025-10-12T00:00:00"/>
    <d v="2025-10-16T00:00:00"/>
    <x v="0"/>
    <x v="0"/>
    <d v="2025-11-15T00:00:00"/>
    <n v="5"/>
    <n v="1"/>
    <n v="5"/>
    <n v="4"/>
  </r>
  <r>
    <s v="L1713"/>
    <x v="1"/>
    <x v="0"/>
    <d v="2025-10-07T00:00:00"/>
    <d v="2025-10-09T00:00:00"/>
    <d v="2025-10-12T00:00:00"/>
    <d v="2025-10-19T00:00:00"/>
    <x v="0"/>
    <x v="0"/>
    <d v="2025-11-03T00:00:00"/>
    <n v="8"/>
    <n v="2"/>
    <n v="3"/>
    <n v="7"/>
  </r>
  <r>
    <s v="L1714"/>
    <x v="1"/>
    <x v="2"/>
    <d v="2025-10-05T00:00:00"/>
    <d v="2025-10-06T00:00:00"/>
    <d v="2025-10-07T00:00:00"/>
    <d v="2025-10-14T00:00:00"/>
    <x v="0"/>
    <x v="0"/>
    <d v="2025-11-03T00:00:00"/>
    <n v="7"/>
    <n v="1"/>
    <n v="1"/>
    <n v="7"/>
  </r>
  <r>
    <s v="L1715"/>
    <x v="3"/>
    <x v="2"/>
    <d v="2025-10-26T00:00:00"/>
    <d v="2025-10-30T00:00:00"/>
    <d v="2025-10-31T00:00:00"/>
    <d v="2025-11-02T00:00:00"/>
    <x v="0"/>
    <x v="0"/>
    <d v="2025-12-02T00:00:00"/>
    <n v="7"/>
    <n v="4"/>
    <n v="1"/>
    <n v="2"/>
  </r>
  <r>
    <s v="L1716"/>
    <x v="0"/>
    <x v="0"/>
    <d v="2025-10-18T00:00:00"/>
    <d v="2025-10-20T00:00:00"/>
    <d v="2025-10-24T00:00:00"/>
    <d v="2025-10-28T00:00:00"/>
    <x v="0"/>
    <x v="0"/>
    <d v="2025-11-08T00:00:00"/>
    <n v="9"/>
    <n v="2"/>
    <n v="4"/>
    <n v="4"/>
  </r>
  <r>
    <s v="L1717"/>
    <x v="1"/>
    <x v="2"/>
    <d v="2025-10-29T00:00:00"/>
    <d v="2025-11-02T00:00:00"/>
    <d v="2025-11-04T00:00:00"/>
    <d v="2025-11-06T00:00:00"/>
    <x v="0"/>
    <x v="0"/>
    <d v="2025-11-16T00:00:00"/>
    <n v="7"/>
    <n v="4"/>
    <n v="2"/>
    <n v="2"/>
  </r>
  <r>
    <s v="L1718"/>
    <x v="1"/>
    <x v="2"/>
    <d v="2025-10-12T00:00:00"/>
    <d v="2025-10-13T00:00:00"/>
    <d v="2025-10-14T00:00:00"/>
    <d v="2025-10-21T00:00:00"/>
    <x v="0"/>
    <x v="0"/>
    <d v="2025-11-14T00:00:00"/>
    <n v="2"/>
    <n v="1"/>
    <n v="1"/>
    <n v="7"/>
  </r>
  <r>
    <s v="L1719"/>
    <x v="1"/>
    <x v="0"/>
    <d v="2025-10-17T00:00:00"/>
    <d v="2025-10-20T00:00:00"/>
    <d v="2025-10-23T00:00:00"/>
    <d v="2025-10-28T00:00:00"/>
    <x v="0"/>
    <x v="0"/>
    <d v="2025-11-15T00:00:00"/>
    <n v="7"/>
    <n v="3"/>
    <n v="3"/>
    <n v="5"/>
  </r>
  <r>
    <s v="L1720"/>
    <x v="2"/>
    <x v="0"/>
    <d v="2025-10-17T00:00:00"/>
    <d v="2025-10-20T00:00:00"/>
    <d v="2025-10-25T00:00:00"/>
    <d v="2025-11-01T00:00:00"/>
    <x v="0"/>
    <x v="0"/>
    <d v="2025-11-17T00:00:00"/>
    <n v="4"/>
    <n v="3"/>
    <n v="5"/>
    <n v="7"/>
  </r>
  <r>
    <s v="L1721"/>
    <x v="2"/>
    <x v="0"/>
    <d v="2025-10-30T00:00:00"/>
    <d v="2025-10-31T00:00:00"/>
    <d v="2025-11-05T00:00:00"/>
    <d v="2025-11-12T00:00:00"/>
    <x v="0"/>
    <x v="0"/>
    <d v="2025-11-27T00:00:00"/>
    <n v="6"/>
    <n v="1"/>
    <n v="5"/>
    <n v="7"/>
  </r>
  <r>
    <s v="L1722"/>
    <x v="3"/>
    <x v="2"/>
    <d v="2025-10-09T00:00:00"/>
    <d v="2025-10-14T00:00:00"/>
    <d v="2025-10-19T00:00:00"/>
    <d v="2025-10-23T00:00:00"/>
    <x v="0"/>
    <x v="0"/>
    <d v="2025-11-20T00:00:00"/>
    <n v="3"/>
    <n v="5"/>
    <n v="5"/>
    <n v="4"/>
  </r>
  <r>
    <s v="L1723"/>
    <x v="0"/>
    <x v="2"/>
    <d v="2025-10-27T00:00:00"/>
    <d v="2025-11-01T00:00:00"/>
    <d v="2025-11-05T00:00:00"/>
    <d v="2025-11-07T00:00:00"/>
    <x v="0"/>
    <x v="0"/>
    <d v="2025-11-22T00:00:00"/>
    <n v="4"/>
    <n v="5"/>
    <n v="4"/>
    <n v="2"/>
  </r>
  <r>
    <s v="L1724"/>
    <x v="3"/>
    <x v="2"/>
    <d v="2025-10-06T00:00:00"/>
    <d v="2025-10-09T00:00:00"/>
    <d v="2025-10-12T00:00:00"/>
    <d v="2025-10-15T00:00:00"/>
    <x v="0"/>
    <x v="0"/>
    <d v="2025-11-09T00:00:00"/>
    <n v="10"/>
    <n v="3"/>
    <n v="3"/>
    <n v="3"/>
  </r>
  <r>
    <s v="L1725"/>
    <x v="0"/>
    <x v="2"/>
    <d v="2025-10-09T00:00:00"/>
    <d v="2025-10-12T00:00:00"/>
    <d v="2025-10-13T00:00:00"/>
    <d v="2025-10-19T00:00:00"/>
    <x v="0"/>
    <x v="0"/>
    <d v="2025-10-31T00:00:00"/>
    <n v="8"/>
    <n v="3"/>
    <n v="1"/>
    <n v="6"/>
  </r>
  <r>
    <s v="L1726"/>
    <x v="2"/>
    <x v="0"/>
    <d v="2025-10-30T00:00:00"/>
    <d v="2025-11-01T00:00:00"/>
    <d v="2025-11-04T00:00:00"/>
    <d v="2025-11-07T00:00:00"/>
    <x v="0"/>
    <x v="0"/>
    <d v="2025-11-21T00:00:00"/>
    <n v="10"/>
    <n v="2"/>
    <n v="3"/>
    <n v="3"/>
  </r>
  <r>
    <s v="L1727"/>
    <x v="2"/>
    <x v="1"/>
    <d v="2025-10-27T00:00:00"/>
    <m/>
    <m/>
    <m/>
    <x v="1"/>
    <x v="3"/>
    <m/>
    <m/>
    <m/>
    <n v="0"/>
    <n v="0"/>
  </r>
  <r>
    <s v="L1728"/>
    <x v="2"/>
    <x v="0"/>
    <d v="2025-10-31T00:00:00"/>
    <d v="2025-11-02T00:00:00"/>
    <d v="2025-11-06T00:00:00"/>
    <d v="2025-11-11T00:00:00"/>
    <x v="0"/>
    <x v="0"/>
    <d v="2025-12-10T00:00:00"/>
    <n v="3"/>
    <n v="2"/>
    <n v="4"/>
    <n v="5"/>
  </r>
  <r>
    <s v="L1729"/>
    <x v="3"/>
    <x v="0"/>
    <d v="2025-10-16T00:00:00"/>
    <d v="2025-10-19T00:00:00"/>
    <d v="2025-10-23T00:00:00"/>
    <d v="2025-10-28T00:00:00"/>
    <x v="0"/>
    <x v="0"/>
    <d v="2025-11-20T00:00:00"/>
    <n v="9"/>
    <n v="3"/>
    <n v="4"/>
    <n v="5"/>
  </r>
  <r>
    <s v="L1730"/>
    <x v="1"/>
    <x v="0"/>
    <d v="2025-10-31T00:00:00"/>
    <d v="2025-11-05T00:00:00"/>
    <d v="2025-11-07T00:00:00"/>
    <d v="2025-11-09T00:00:00"/>
    <x v="0"/>
    <x v="0"/>
    <d v="2025-12-09T00:00:00"/>
    <n v="1"/>
    <n v="5"/>
    <n v="2"/>
    <n v="2"/>
  </r>
  <r>
    <s v="L1731"/>
    <x v="1"/>
    <x v="0"/>
    <d v="2025-10-26T00:00:00"/>
    <d v="2025-10-28T00:00:00"/>
    <d v="2025-10-31T00:00:00"/>
    <d v="2025-11-03T00:00:00"/>
    <x v="0"/>
    <x v="0"/>
    <d v="2025-11-26T00:00:00"/>
    <n v="8"/>
    <n v="2"/>
    <n v="3"/>
    <n v="3"/>
  </r>
  <r>
    <s v="L1732"/>
    <x v="2"/>
    <x v="0"/>
    <d v="2025-10-10T00:00:00"/>
    <d v="2025-10-11T00:00:00"/>
    <d v="2025-10-16T00:00:00"/>
    <d v="2025-10-23T00:00:00"/>
    <x v="0"/>
    <x v="0"/>
    <d v="2025-11-14T00:00:00"/>
    <n v="6"/>
    <n v="1"/>
    <n v="5"/>
    <n v="7"/>
  </r>
  <r>
    <s v="L1733"/>
    <x v="1"/>
    <x v="0"/>
    <d v="2025-10-24T00:00:00"/>
    <d v="2025-10-26T00:00:00"/>
    <d v="2025-10-30T00:00:00"/>
    <d v="2025-11-03T00:00:00"/>
    <x v="0"/>
    <x v="0"/>
    <d v="2025-11-26T00:00:00"/>
    <n v="4"/>
    <n v="2"/>
    <n v="4"/>
    <n v="4"/>
  </r>
  <r>
    <s v="L1734"/>
    <x v="1"/>
    <x v="0"/>
    <d v="2025-10-28T00:00:00"/>
    <d v="2025-10-30T00:00:00"/>
    <d v="2025-11-03T00:00:00"/>
    <d v="2025-11-05T00:00:00"/>
    <x v="0"/>
    <x v="0"/>
    <d v="2025-11-30T00:00:00"/>
    <n v="4"/>
    <n v="2"/>
    <n v="4"/>
    <n v="2"/>
  </r>
  <r>
    <s v="L1735"/>
    <x v="3"/>
    <x v="2"/>
    <d v="2025-10-11T00:00:00"/>
    <d v="2025-10-13T00:00:00"/>
    <d v="2025-10-15T00:00:00"/>
    <d v="2025-10-17T00:00:00"/>
    <x v="0"/>
    <x v="0"/>
    <d v="2025-11-08T00:00:00"/>
    <n v="9"/>
    <n v="2"/>
    <n v="2"/>
    <n v="2"/>
  </r>
  <r>
    <s v="L1736"/>
    <x v="0"/>
    <x v="0"/>
    <d v="2025-10-26T00:00:00"/>
    <d v="2025-10-30T00:00:00"/>
    <d v="2025-11-04T00:00:00"/>
    <d v="2025-11-07T00:00:00"/>
    <x v="0"/>
    <x v="0"/>
    <d v="2025-11-17T00:00:00"/>
    <n v="0"/>
    <n v="4"/>
    <n v="5"/>
    <n v="3"/>
  </r>
  <r>
    <s v="L1737"/>
    <x v="2"/>
    <x v="1"/>
    <d v="2025-10-04T00:00:00"/>
    <m/>
    <m/>
    <m/>
    <x v="1"/>
    <x v="2"/>
    <m/>
    <m/>
    <m/>
    <n v="0"/>
    <n v="0"/>
  </r>
  <r>
    <s v="L1738"/>
    <x v="2"/>
    <x v="2"/>
    <d v="2025-10-15T00:00:00"/>
    <d v="2025-10-16T00:00:00"/>
    <d v="2025-10-20T00:00:00"/>
    <d v="2025-10-26T00:00:00"/>
    <x v="0"/>
    <x v="0"/>
    <d v="2025-11-06T00:00:00"/>
    <n v="7"/>
    <n v="1"/>
    <n v="4"/>
    <n v="6"/>
  </r>
  <r>
    <s v="L1739"/>
    <x v="3"/>
    <x v="2"/>
    <d v="2025-10-31T00:00:00"/>
    <d v="2025-11-03T00:00:00"/>
    <d v="2025-11-04T00:00:00"/>
    <d v="2025-11-09T00:00:00"/>
    <x v="0"/>
    <x v="0"/>
    <d v="2025-12-06T00:00:00"/>
    <n v="7"/>
    <n v="3"/>
    <n v="1"/>
    <n v="5"/>
  </r>
  <r>
    <s v="L1740"/>
    <x v="3"/>
    <x v="0"/>
    <d v="2025-10-03T00:00:00"/>
    <d v="2025-10-08T00:00:00"/>
    <d v="2025-10-13T00:00:00"/>
    <d v="2025-10-20T00:00:00"/>
    <x v="0"/>
    <x v="0"/>
    <d v="2025-11-05T00:00:00"/>
    <n v="1"/>
    <n v="5"/>
    <n v="5"/>
    <n v="7"/>
  </r>
  <r>
    <s v="L1741"/>
    <x v="1"/>
    <x v="0"/>
    <d v="2025-10-05T00:00:00"/>
    <d v="2025-10-10T00:00:00"/>
    <d v="2025-10-13T00:00:00"/>
    <d v="2025-10-17T00:00:00"/>
    <x v="0"/>
    <x v="0"/>
    <d v="2025-11-07T00:00:00"/>
    <n v="2"/>
    <n v="5"/>
    <n v="3"/>
    <n v="4"/>
  </r>
  <r>
    <s v="L1742"/>
    <x v="2"/>
    <x v="0"/>
    <d v="2025-10-25T00:00:00"/>
    <d v="2025-10-28T00:00:00"/>
    <d v="2025-10-30T00:00:00"/>
    <d v="2025-11-04T00:00:00"/>
    <x v="0"/>
    <x v="0"/>
    <d v="2025-11-14T00:00:00"/>
    <n v="2"/>
    <n v="3"/>
    <n v="2"/>
    <n v="5"/>
  </r>
  <r>
    <s v="L1743"/>
    <x v="0"/>
    <x v="0"/>
    <d v="2025-10-31T00:00:00"/>
    <d v="2025-11-04T00:00:00"/>
    <d v="2025-11-05T00:00:00"/>
    <d v="2025-11-12T00:00:00"/>
    <x v="0"/>
    <x v="0"/>
    <d v="2025-12-02T00:00:00"/>
    <n v="1"/>
    <n v="4"/>
    <n v="1"/>
    <n v="7"/>
  </r>
  <r>
    <s v="L1744"/>
    <x v="3"/>
    <x v="2"/>
    <d v="2025-10-08T00:00:00"/>
    <d v="2025-10-13T00:00:00"/>
    <d v="2025-10-14T00:00:00"/>
    <d v="2025-10-16T00:00:00"/>
    <x v="0"/>
    <x v="0"/>
    <d v="2025-11-11T00:00:00"/>
    <n v="5"/>
    <n v="5"/>
    <n v="1"/>
    <n v="2"/>
  </r>
  <r>
    <s v="L1745"/>
    <x v="0"/>
    <x v="0"/>
    <d v="2025-10-28T00:00:00"/>
    <d v="2025-10-30T00:00:00"/>
    <d v="2025-11-02T00:00:00"/>
    <d v="2025-11-08T00:00:00"/>
    <x v="0"/>
    <x v="0"/>
    <d v="2025-11-24T00:00:00"/>
    <n v="9"/>
    <n v="2"/>
    <n v="3"/>
    <n v="6"/>
  </r>
  <r>
    <s v="L1746"/>
    <x v="0"/>
    <x v="0"/>
    <d v="2025-10-22T00:00:00"/>
    <d v="2025-10-27T00:00:00"/>
    <d v="2025-10-29T00:00:00"/>
    <d v="2025-10-31T00:00:00"/>
    <x v="1"/>
    <x v="5"/>
    <m/>
    <m/>
    <n v="5"/>
    <n v="2"/>
    <n v="2"/>
  </r>
  <r>
    <s v="L1747"/>
    <x v="2"/>
    <x v="1"/>
    <d v="2025-10-24T00:00:00"/>
    <m/>
    <m/>
    <m/>
    <x v="1"/>
    <x v="4"/>
    <m/>
    <m/>
    <m/>
    <n v="0"/>
    <n v="0"/>
  </r>
  <r>
    <s v="L1748"/>
    <x v="2"/>
    <x v="0"/>
    <d v="2025-10-22T00:00:00"/>
    <d v="2025-10-23T00:00:00"/>
    <d v="2025-10-27T00:00:00"/>
    <d v="2025-11-02T00:00:00"/>
    <x v="0"/>
    <x v="0"/>
    <d v="2025-11-12T00:00:00"/>
    <n v="7"/>
    <n v="1"/>
    <n v="4"/>
    <n v="6"/>
  </r>
  <r>
    <s v="L1749"/>
    <x v="3"/>
    <x v="2"/>
    <d v="2025-10-13T00:00:00"/>
    <d v="2025-10-14T00:00:00"/>
    <d v="2025-10-16T00:00:00"/>
    <d v="2025-10-19T00:00:00"/>
    <x v="0"/>
    <x v="0"/>
    <d v="2025-10-29T00:00:00"/>
    <n v="0"/>
    <n v="1"/>
    <n v="2"/>
    <n v="3"/>
  </r>
  <r>
    <s v="L1750"/>
    <x v="2"/>
    <x v="2"/>
    <d v="2025-10-31T00:00:00"/>
    <d v="2025-11-03T00:00:00"/>
    <d v="2025-11-07T00:00:00"/>
    <d v="2025-11-14T00:00:00"/>
    <x v="0"/>
    <x v="0"/>
    <d v="2025-12-14T00:00:00"/>
    <n v="7"/>
    <n v="3"/>
    <n v="4"/>
    <n v="7"/>
  </r>
  <r>
    <s v="L1751"/>
    <x v="2"/>
    <x v="2"/>
    <d v="2025-10-28T00:00:00"/>
    <d v="2025-11-01T00:00:00"/>
    <d v="2025-11-04T00:00:00"/>
    <d v="2025-11-09T00:00:00"/>
    <x v="0"/>
    <x v="0"/>
    <d v="2025-11-26T00:00:00"/>
    <n v="4"/>
    <n v="4"/>
    <n v="3"/>
    <n v="5"/>
  </r>
  <r>
    <s v="L1752"/>
    <x v="2"/>
    <x v="0"/>
    <d v="2025-10-26T00:00:00"/>
    <d v="2025-10-30T00:00:00"/>
    <d v="2025-11-02T00:00:00"/>
    <d v="2025-11-04T00:00:00"/>
    <x v="0"/>
    <x v="0"/>
    <d v="2025-11-21T00:00:00"/>
    <n v="4"/>
    <n v="4"/>
    <n v="3"/>
    <n v="2"/>
  </r>
  <r>
    <s v="L1753"/>
    <x v="0"/>
    <x v="2"/>
    <d v="2025-10-18T00:00:00"/>
    <d v="2025-10-23T00:00:00"/>
    <d v="2025-10-24T00:00:00"/>
    <d v="2025-10-30T00:00:00"/>
    <x v="0"/>
    <x v="0"/>
    <d v="2025-11-20T00:00:00"/>
    <n v="9"/>
    <n v="5"/>
    <n v="1"/>
    <n v="6"/>
  </r>
  <r>
    <s v="L1754"/>
    <x v="3"/>
    <x v="0"/>
    <d v="2025-10-12T00:00:00"/>
    <d v="2025-10-16T00:00:00"/>
    <d v="2025-10-17T00:00:00"/>
    <d v="2025-10-23T00:00:00"/>
    <x v="0"/>
    <x v="0"/>
    <d v="2025-11-11T00:00:00"/>
    <n v="6"/>
    <n v="4"/>
    <n v="1"/>
    <n v="6"/>
  </r>
  <r>
    <s v="L1755"/>
    <x v="1"/>
    <x v="0"/>
    <d v="2025-10-03T00:00:00"/>
    <d v="2025-10-07T00:00:00"/>
    <d v="2025-10-08T00:00:00"/>
    <d v="2025-10-10T00:00:00"/>
    <x v="0"/>
    <x v="0"/>
    <d v="2025-10-24T00:00:00"/>
    <n v="5"/>
    <n v="4"/>
    <n v="1"/>
    <n v="2"/>
  </r>
  <r>
    <s v="L1756"/>
    <x v="0"/>
    <x v="2"/>
    <d v="2025-10-26T00:00:00"/>
    <d v="2025-10-31T00:00:00"/>
    <d v="2025-11-03T00:00:00"/>
    <d v="2025-11-08T00:00:00"/>
    <x v="0"/>
    <x v="0"/>
    <d v="2025-11-21T00:00:00"/>
    <n v="7"/>
    <n v="5"/>
    <n v="3"/>
    <n v="5"/>
  </r>
  <r>
    <s v="L1757"/>
    <x v="2"/>
    <x v="2"/>
    <d v="2025-10-13T00:00:00"/>
    <d v="2025-10-14T00:00:00"/>
    <d v="2025-10-18T00:00:00"/>
    <d v="2025-10-25T00:00:00"/>
    <x v="0"/>
    <x v="0"/>
    <d v="2025-11-16T00:00:00"/>
    <n v="6"/>
    <n v="1"/>
    <n v="4"/>
    <n v="7"/>
  </r>
  <r>
    <s v="L1758"/>
    <x v="0"/>
    <x v="2"/>
    <d v="2025-10-01T00:00:00"/>
    <d v="2025-10-03T00:00:00"/>
    <d v="2025-10-06T00:00:00"/>
    <d v="2025-10-09T00:00:00"/>
    <x v="0"/>
    <x v="0"/>
    <d v="2025-11-04T00:00:00"/>
    <n v="6"/>
    <n v="2"/>
    <n v="3"/>
    <n v="3"/>
  </r>
  <r>
    <s v="L1759"/>
    <x v="2"/>
    <x v="1"/>
    <d v="2025-10-09T00:00:00"/>
    <m/>
    <m/>
    <m/>
    <x v="1"/>
    <x v="4"/>
    <m/>
    <m/>
    <m/>
    <n v="0"/>
    <n v="0"/>
  </r>
  <r>
    <s v="L1760"/>
    <x v="2"/>
    <x v="2"/>
    <d v="2025-10-18T00:00:00"/>
    <d v="2025-10-21T00:00:00"/>
    <d v="2025-10-24T00:00:00"/>
    <d v="2025-10-27T00:00:00"/>
    <x v="0"/>
    <x v="0"/>
    <d v="2025-11-24T00:00:00"/>
    <n v="2"/>
    <n v="3"/>
    <n v="3"/>
    <n v="3"/>
  </r>
  <r>
    <s v="L1761"/>
    <x v="0"/>
    <x v="0"/>
    <d v="2025-10-04T00:00:00"/>
    <d v="2025-10-05T00:00:00"/>
    <d v="2025-10-06T00:00:00"/>
    <d v="2025-10-10T00:00:00"/>
    <x v="0"/>
    <x v="0"/>
    <d v="2025-10-29T00:00:00"/>
    <n v="8"/>
    <n v="1"/>
    <n v="1"/>
    <n v="4"/>
  </r>
  <r>
    <s v="L1762"/>
    <x v="3"/>
    <x v="1"/>
    <d v="2025-10-15T00:00:00"/>
    <m/>
    <m/>
    <m/>
    <x v="1"/>
    <x v="3"/>
    <m/>
    <m/>
    <m/>
    <n v="0"/>
    <n v="0"/>
  </r>
  <r>
    <s v="L1763"/>
    <x v="2"/>
    <x v="0"/>
    <d v="2025-10-12T00:00:00"/>
    <d v="2025-10-16T00:00:00"/>
    <d v="2025-10-18T00:00:00"/>
    <d v="2025-10-22T00:00:00"/>
    <x v="1"/>
    <x v="4"/>
    <m/>
    <m/>
    <n v="4"/>
    <n v="2"/>
    <n v="4"/>
  </r>
  <r>
    <s v="L1764"/>
    <x v="3"/>
    <x v="1"/>
    <d v="2025-10-22T00:00:00"/>
    <m/>
    <m/>
    <m/>
    <x v="1"/>
    <x v="2"/>
    <m/>
    <m/>
    <m/>
    <n v="0"/>
    <n v="0"/>
  </r>
  <r>
    <s v="L1765"/>
    <x v="1"/>
    <x v="0"/>
    <d v="2025-10-24T00:00:00"/>
    <d v="2025-10-28T00:00:00"/>
    <d v="2025-10-29T00:00:00"/>
    <d v="2025-11-02T00:00:00"/>
    <x v="0"/>
    <x v="0"/>
    <d v="2025-11-17T00:00:00"/>
    <n v="1"/>
    <n v="4"/>
    <n v="1"/>
    <n v="4"/>
  </r>
  <r>
    <s v="L1766"/>
    <x v="2"/>
    <x v="1"/>
    <d v="2025-10-22T00:00:00"/>
    <m/>
    <m/>
    <m/>
    <x v="1"/>
    <x v="5"/>
    <m/>
    <m/>
    <m/>
    <n v="0"/>
    <n v="0"/>
  </r>
  <r>
    <s v="L1767"/>
    <x v="3"/>
    <x v="2"/>
    <d v="2025-10-09T00:00:00"/>
    <d v="2025-10-14T00:00:00"/>
    <d v="2025-10-16T00:00:00"/>
    <d v="2025-10-21T00:00:00"/>
    <x v="0"/>
    <x v="0"/>
    <d v="2025-11-02T00:00:00"/>
    <n v="0"/>
    <n v="5"/>
    <n v="2"/>
    <n v="5"/>
  </r>
  <r>
    <s v="L1768"/>
    <x v="3"/>
    <x v="2"/>
    <d v="2025-10-19T00:00:00"/>
    <d v="2025-10-22T00:00:00"/>
    <d v="2025-10-26T00:00:00"/>
    <d v="2025-11-02T00:00:00"/>
    <x v="0"/>
    <x v="0"/>
    <d v="2025-11-13T00:00:00"/>
    <n v="4"/>
    <n v="3"/>
    <n v="4"/>
    <n v="7"/>
  </r>
  <r>
    <s v="L1769"/>
    <x v="1"/>
    <x v="0"/>
    <d v="2025-10-13T00:00:00"/>
    <d v="2025-10-15T00:00:00"/>
    <d v="2025-10-19T00:00:00"/>
    <d v="2025-10-26T00:00:00"/>
    <x v="0"/>
    <x v="0"/>
    <d v="2025-11-14T00:00:00"/>
    <n v="0"/>
    <n v="2"/>
    <n v="4"/>
    <n v="7"/>
  </r>
  <r>
    <s v="L1770"/>
    <x v="3"/>
    <x v="1"/>
    <d v="2025-10-27T00:00:00"/>
    <m/>
    <m/>
    <m/>
    <x v="1"/>
    <x v="2"/>
    <m/>
    <m/>
    <m/>
    <n v="0"/>
    <n v="0"/>
  </r>
  <r>
    <s v="L1771"/>
    <x v="3"/>
    <x v="1"/>
    <d v="2025-10-21T00:00:00"/>
    <m/>
    <m/>
    <m/>
    <x v="1"/>
    <x v="1"/>
    <m/>
    <m/>
    <m/>
    <n v="0"/>
    <n v="0"/>
  </r>
  <r>
    <s v="L1772"/>
    <x v="1"/>
    <x v="2"/>
    <d v="2025-10-31T00:00:00"/>
    <d v="2025-11-05T00:00:00"/>
    <d v="2025-11-10T00:00:00"/>
    <d v="2025-11-14T00:00:00"/>
    <x v="0"/>
    <x v="0"/>
    <d v="2025-12-03T00:00:00"/>
    <n v="4"/>
    <n v="5"/>
    <n v="5"/>
    <n v="4"/>
  </r>
  <r>
    <s v="L1773"/>
    <x v="2"/>
    <x v="2"/>
    <d v="2025-10-12T00:00:00"/>
    <d v="2025-10-17T00:00:00"/>
    <d v="2025-10-22T00:00:00"/>
    <d v="2025-10-26T00:00:00"/>
    <x v="0"/>
    <x v="0"/>
    <d v="2025-11-19T00:00:00"/>
    <n v="1"/>
    <n v="5"/>
    <n v="5"/>
    <n v="4"/>
  </r>
  <r>
    <s v="L1774"/>
    <x v="3"/>
    <x v="1"/>
    <d v="2025-10-04T00:00:00"/>
    <m/>
    <m/>
    <m/>
    <x v="1"/>
    <x v="3"/>
    <m/>
    <m/>
    <m/>
    <n v="0"/>
    <n v="0"/>
  </r>
  <r>
    <s v="L1775"/>
    <x v="3"/>
    <x v="2"/>
    <d v="2025-10-22T00:00:00"/>
    <d v="2025-10-24T00:00:00"/>
    <d v="2025-10-29T00:00:00"/>
    <d v="2025-11-03T00:00:00"/>
    <x v="0"/>
    <x v="0"/>
    <d v="2025-11-29T00:00:00"/>
    <n v="10"/>
    <n v="2"/>
    <n v="5"/>
    <n v="5"/>
  </r>
  <r>
    <s v="L1776"/>
    <x v="3"/>
    <x v="0"/>
    <d v="2025-10-08T00:00:00"/>
    <d v="2025-10-10T00:00:00"/>
    <d v="2025-10-14T00:00:00"/>
    <d v="2025-10-18T00:00:00"/>
    <x v="0"/>
    <x v="0"/>
    <d v="2025-11-16T00:00:00"/>
    <n v="1"/>
    <n v="2"/>
    <n v="4"/>
    <n v="4"/>
  </r>
  <r>
    <s v="L1777"/>
    <x v="0"/>
    <x v="1"/>
    <d v="2025-10-16T00:00:00"/>
    <m/>
    <m/>
    <m/>
    <x v="1"/>
    <x v="4"/>
    <m/>
    <m/>
    <m/>
    <n v="0"/>
    <n v="0"/>
  </r>
  <r>
    <s v="L1778"/>
    <x v="1"/>
    <x v="0"/>
    <d v="2025-10-01T00:00:00"/>
    <d v="2025-10-05T00:00:00"/>
    <d v="2025-10-06T00:00:00"/>
    <d v="2025-10-09T00:00:00"/>
    <x v="0"/>
    <x v="0"/>
    <d v="2025-11-04T00:00:00"/>
    <n v="3"/>
    <n v="4"/>
    <n v="1"/>
    <n v="3"/>
  </r>
  <r>
    <s v="L1779"/>
    <x v="0"/>
    <x v="0"/>
    <d v="2025-10-20T00:00:00"/>
    <d v="2025-10-25T00:00:00"/>
    <d v="2025-10-26T00:00:00"/>
    <d v="2025-10-28T00:00:00"/>
    <x v="0"/>
    <x v="0"/>
    <d v="2025-11-17T00:00:00"/>
    <n v="2"/>
    <n v="5"/>
    <n v="1"/>
    <n v="2"/>
  </r>
  <r>
    <s v="L1780"/>
    <x v="1"/>
    <x v="0"/>
    <d v="2025-10-29T00:00:00"/>
    <d v="2025-10-30T00:00:00"/>
    <d v="2025-10-31T00:00:00"/>
    <d v="2025-11-03T00:00:00"/>
    <x v="0"/>
    <x v="0"/>
    <d v="2025-11-26T00:00:00"/>
    <n v="2"/>
    <n v="1"/>
    <n v="1"/>
    <n v="3"/>
  </r>
  <r>
    <s v="L1781"/>
    <x v="2"/>
    <x v="2"/>
    <d v="2025-10-31T00:00:00"/>
    <d v="2025-11-01T00:00:00"/>
    <d v="2025-11-04T00:00:00"/>
    <d v="2025-11-07T00:00:00"/>
    <x v="0"/>
    <x v="0"/>
    <d v="2025-11-21T00:00:00"/>
    <n v="4"/>
    <n v="1"/>
    <n v="3"/>
    <n v="3"/>
  </r>
  <r>
    <s v="L1782"/>
    <x v="2"/>
    <x v="1"/>
    <d v="2025-10-18T00:00:00"/>
    <m/>
    <m/>
    <m/>
    <x v="1"/>
    <x v="1"/>
    <m/>
    <m/>
    <m/>
    <n v="0"/>
    <n v="0"/>
  </r>
  <r>
    <s v="L1783"/>
    <x v="3"/>
    <x v="0"/>
    <d v="2025-10-11T00:00:00"/>
    <d v="2025-10-16T00:00:00"/>
    <d v="2025-10-21T00:00:00"/>
    <d v="2025-10-27T00:00:00"/>
    <x v="0"/>
    <x v="0"/>
    <d v="2025-11-16T00:00:00"/>
    <n v="9"/>
    <n v="5"/>
    <n v="5"/>
    <n v="6"/>
  </r>
  <r>
    <s v="L1784"/>
    <x v="1"/>
    <x v="1"/>
    <d v="2025-10-30T00:00:00"/>
    <m/>
    <m/>
    <m/>
    <x v="1"/>
    <x v="4"/>
    <m/>
    <m/>
    <m/>
    <n v="0"/>
    <n v="0"/>
  </r>
  <r>
    <s v="L1785"/>
    <x v="2"/>
    <x v="2"/>
    <d v="2025-10-20T00:00:00"/>
    <d v="2025-10-22T00:00:00"/>
    <d v="2025-10-23T00:00:00"/>
    <d v="2025-10-25T00:00:00"/>
    <x v="0"/>
    <x v="0"/>
    <d v="2025-11-19T00:00:00"/>
    <n v="7"/>
    <n v="2"/>
    <n v="1"/>
    <n v="2"/>
  </r>
  <r>
    <s v="L1786"/>
    <x v="1"/>
    <x v="1"/>
    <d v="2025-10-08T00:00:00"/>
    <m/>
    <m/>
    <m/>
    <x v="1"/>
    <x v="5"/>
    <m/>
    <m/>
    <m/>
    <n v="0"/>
    <n v="0"/>
  </r>
  <r>
    <s v="L1787"/>
    <x v="2"/>
    <x v="0"/>
    <d v="2025-10-21T00:00:00"/>
    <d v="2025-10-24T00:00:00"/>
    <d v="2025-10-29T00:00:00"/>
    <d v="2025-11-01T00:00:00"/>
    <x v="0"/>
    <x v="0"/>
    <d v="2025-11-22T00:00:00"/>
    <n v="3"/>
    <n v="3"/>
    <n v="5"/>
    <n v="3"/>
  </r>
  <r>
    <s v="L1788"/>
    <x v="0"/>
    <x v="2"/>
    <d v="2025-10-03T00:00:00"/>
    <d v="2025-10-05T00:00:00"/>
    <d v="2025-10-10T00:00:00"/>
    <d v="2025-10-12T00:00:00"/>
    <x v="0"/>
    <x v="0"/>
    <d v="2025-10-28T00:00:00"/>
    <n v="3"/>
    <n v="2"/>
    <n v="5"/>
    <n v="2"/>
  </r>
  <r>
    <s v="L1789"/>
    <x v="2"/>
    <x v="2"/>
    <d v="2025-10-21T00:00:00"/>
    <d v="2025-10-23T00:00:00"/>
    <d v="2025-10-26T00:00:00"/>
    <d v="2025-10-29T00:00:00"/>
    <x v="0"/>
    <x v="0"/>
    <d v="2025-11-13T00:00:00"/>
    <n v="3"/>
    <n v="2"/>
    <n v="3"/>
    <n v="3"/>
  </r>
  <r>
    <s v="L1790"/>
    <x v="0"/>
    <x v="0"/>
    <d v="2025-10-27T00:00:00"/>
    <d v="2025-10-30T00:00:00"/>
    <d v="2025-11-03T00:00:00"/>
    <d v="2025-11-08T00:00:00"/>
    <x v="0"/>
    <x v="0"/>
    <d v="2025-11-30T00:00:00"/>
    <n v="5"/>
    <n v="3"/>
    <n v="4"/>
    <n v="5"/>
  </r>
  <r>
    <s v="L1791"/>
    <x v="2"/>
    <x v="0"/>
    <d v="2025-10-15T00:00:00"/>
    <d v="2025-10-17T00:00:00"/>
    <d v="2025-10-18T00:00:00"/>
    <d v="2025-10-23T00:00:00"/>
    <x v="0"/>
    <x v="0"/>
    <d v="2025-11-02T00:00:00"/>
    <n v="8"/>
    <n v="2"/>
    <n v="1"/>
    <n v="5"/>
  </r>
  <r>
    <s v="L1792"/>
    <x v="3"/>
    <x v="1"/>
    <d v="2025-10-30T00:00:00"/>
    <m/>
    <m/>
    <m/>
    <x v="1"/>
    <x v="5"/>
    <m/>
    <m/>
    <m/>
    <n v="0"/>
    <n v="0"/>
  </r>
  <r>
    <s v="L1793"/>
    <x v="0"/>
    <x v="2"/>
    <d v="2025-10-23T00:00:00"/>
    <d v="2025-10-26T00:00:00"/>
    <d v="2025-10-29T00:00:00"/>
    <d v="2025-11-02T00:00:00"/>
    <x v="0"/>
    <x v="0"/>
    <d v="2025-11-19T00:00:00"/>
    <n v="1"/>
    <n v="3"/>
    <n v="3"/>
    <n v="4"/>
  </r>
  <r>
    <s v="L1794"/>
    <x v="2"/>
    <x v="2"/>
    <d v="2025-10-10T00:00:00"/>
    <d v="2025-10-15T00:00:00"/>
    <d v="2025-10-19T00:00:00"/>
    <d v="2025-10-24T00:00:00"/>
    <x v="0"/>
    <x v="0"/>
    <d v="2025-11-10T00:00:00"/>
    <n v="10"/>
    <n v="5"/>
    <n v="4"/>
    <n v="5"/>
  </r>
  <r>
    <s v="L1795"/>
    <x v="3"/>
    <x v="0"/>
    <d v="2025-10-21T00:00:00"/>
    <d v="2025-10-24T00:00:00"/>
    <d v="2025-10-28T00:00:00"/>
    <d v="2025-10-30T00:00:00"/>
    <x v="0"/>
    <x v="0"/>
    <d v="2025-11-13T00:00:00"/>
    <n v="4"/>
    <n v="3"/>
    <n v="4"/>
    <n v="2"/>
  </r>
  <r>
    <s v="L1796"/>
    <x v="0"/>
    <x v="0"/>
    <d v="2025-10-14T00:00:00"/>
    <d v="2025-10-15T00:00:00"/>
    <d v="2025-10-16T00:00:00"/>
    <d v="2025-10-22T00:00:00"/>
    <x v="0"/>
    <x v="0"/>
    <d v="2025-11-07T00:00:00"/>
    <n v="8"/>
    <n v="1"/>
    <n v="1"/>
    <n v="6"/>
  </r>
  <r>
    <s v="L1797"/>
    <x v="3"/>
    <x v="0"/>
    <d v="2025-10-04T00:00:00"/>
    <d v="2025-10-07T00:00:00"/>
    <d v="2025-10-12T00:00:00"/>
    <d v="2025-10-16T00:00:00"/>
    <x v="0"/>
    <x v="0"/>
    <d v="2025-10-26T00:00:00"/>
    <n v="7"/>
    <n v="3"/>
    <n v="5"/>
    <n v="4"/>
  </r>
  <r>
    <s v="L1798"/>
    <x v="1"/>
    <x v="1"/>
    <d v="2025-10-05T00:00:00"/>
    <m/>
    <m/>
    <m/>
    <x v="1"/>
    <x v="5"/>
    <m/>
    <m/>
    <m/>
    <n v="0"/>
    <n v="0"/>
  </r>
  <r>
    <s v="L1799"/>
    <x v="1"/>
    <x v="1"/>
    <d v="2025-10-02T00:00:00"/>
    <m/>
    <m/>
    <m/>
    <x v="1"/>
    <x v="4"/>
    <m/>
    <m/>
    <m/>
    <n v="0"/>
    <n v="0"/>
  </r>
  <r>
    <s v="L1800"/>
    <x v="0"/>
    <x v="1"/>
    <d v="2025-10-31T00:00:00"/>
    <m/>
    <m/>
    <m/>
    <x v="1"/>
    <x v="1"/>
    <m/>
    <m/>
    <m/>
    <n v="0"/>
    <n v="0"/>
  </r>
  <r>
    <s v="L1801"/>
    <x v="2"/>
    <x v="0"/>
    <d v="2025-10-02T00:00:00"/>
    <d v="2025-10-04T00:00:00"/>
    <d v="2025-10-06T00:00:00"/>
    <d v="2025-10-09T00:00:00"/>
    <x v="1"/>
    <x v="5"/>
    <m/>
    <m/>
    <n v="2"/>
    <n v="2"/>
    <n v="3"/>
  </r>
  <r>
    <s v="L1802"/>
    <x v="0"/>
    <x v="0"/>
    <d v="2025-10-10T00:00:00"/>
    <d v="2025-10-15T00:00:00"/>
    <d v="2025-10-20T00:00:00"/>
    <d v="2025-10-25T00:00:00"/>
    <x v="0"/>
    <x v="0"/>
    <d v="2025-11-22T00:00:00"/>
    <n v="10"/>
    <n v="5"/>
    <n v="5"/>
    <n v="5"/>
  </r>
  <r>
    <s v="L1803"/>
    <x v="3"/>
    <x v="0"/>
    <d v="2025-10-16T00:00:00"/>
    <d v="2025-10-19T00:00:00"/>
    <d v="2025-10-24T00:00:00"/>
    <d v="2025-10-28T00:00:00"/>
    <x v="0"/>
    <x v="0"/>
    <d v="2025-11-23T00:00:00"/>
    <n v="1"/>
    <n v="3"/>
    <n v="5"/>
    <n v="4"/>
  </r>
  <r>
    <s v="L1804"/>
    <x v="2"/>
    <x v="0"/>
    <d v="2025-10-04T00:00:00"/>
    <d v="2025-10-06T00:00:00"/>
    <d v="2025-10-08T00:00:00"/>
    <d v="2025-10-13T00:00:00"/>
    <x v="0"/>
    <x v="0"/>
    <d v="2025-10-28T00:00:00"/>
    <n v="9"/>
    <n v="2"/>
    <n v="2"/>
    <n v="5"/>
  </r>
  <r>
    <s v="L1805"/>
    <x v="1"/>
    <x v="1"/>
    <d v="2025-10-04T00:00:00"/>
    <m/>
    <m/>
    <m/>
    <x v="1"/>
    <x v="1"/>
    <m/>
    <m/>
    <m/>
    <n v="0"/>
    <n v="0"/>
  </r>
  <r>
    <s v="L1806"/>
    <x v="2"/>
    <x v="2"/>
    <d v="2025-10-08T00:00:00"/>
    <d v="2025-10-11T00:00:00"/>
    <d v="2025-10-15T00:00:00"/>
    <d v="2025-10-19T00:00:00"/>
    <x v="0"/>
    <x v="0"/>
    <d v="2025-11-01T00:00:00"/>
    <n v="3"/>
    <n v="3"/>
    <n v="4"/>
    <n v="4"/>
  </r>
  <r>
    <s v="L1807"/>
    <x v="1"/>
    <x v="0"/>
    <d v="2025-10-29T00:00:00"/>
    <d v="2025-11-03T00:00:00"/>
    <d v="2025-11-05T00:00:00"/>
    <d v="2025-11-07T00:00:00"/>
    <x v="0"/>
    <x v="0"/>
    <d v="2025-11-28T00:00:00"/>
    <n v="2"/>
    <n v="5"/>
    <n v="2"/>
    <n v="2"/>
  </r>
  <r>
    <s v="L1808"/>
    <x v="2"/>
    <x v="2"/>
    <d v="2025-10-18T00:00:00"/>
    <d v="2025-10-23T00:00:00"/>
    <d v="2025-10-25T00:00:00"/>
    <d v="2025-10-27T00:00:00"/>
    <x v="0"/>
    <x v="0"/>
    <d v="2025-11-26T00:00:00"/>
    <n v="5"/>
    <n v="5"/>
    <n v="2"/>
    <n v="2"/>
  </r>
  <r>
    <s v="L1809"/>
    <x v="2"/>
    <x v="0"/>
    <d v="2025-10-05T00:00:00"/>
    <d v="2025-10-06T00:00:00"/>
    <d v="2025-10-09T00:00:00"/>
    <d v="2025-10-12T00:00:00"/>
    <x v="0"/>
    <x v="0"/>
    <d v="2025-10-23T00:00:00"/>
    <n v="1"/>
    <n v="1"/>
    <n v="3"/>
    <n v="3"/>
  </r>
  <r>
    <s v="L1810"/>
    <x v="2"/>
    <x v="1"/>
    <d v="2025-10-13T00:00:00"/>
    <m/>
    <m/>
    <m/>
    <x v="1"/>
    <x v="4"/>
    <m/>
    <m/>
    <m/>
    <n v="0"/>
    <n v="0"/>
  </r>
  <r>
    <s v="L1811"/>
    <x v="3"/>
    <x v="0"/>
    <d v="2025-10-15T00:00:00"/>
    <d v="2025-10-20T00:00:00"/>
    <d v="2025-10-23T00:00:00"/>
    <d v="2025-10-30T00:00:00"/>
    <x v="0"/>
    <x v="0"/>
    <d v="2025-11-21T00:00:00"/>
    <n v="7"/>
    <n v="5"/>
    <n v="3"/>
    <n v="7"/>
  </r>
  <r>
    <s v="L1812"/>
    <x v="3"/>
    <x v="2"/>
    <d v="2025-10-12T00:00:00"/>
    <d v="2025-10-14T00:00:00"/>
    <d v="2025-10-17T00:00:00"/>
    <d v="2025-10-21T00:00:00"/>
    <x v="0"/>
    <x v="0"/>
    <d v="2025-11-20T00:00:00"/>
    <n v="3"/>
    <n v="2"/>
    <n v="3"/>
    <n v="4"/>
  </r>
  <r>
    <s v="L1813"/>
    <x v="0"/>
    <x v="1"/>
    <d v="2025-10-22T00:00:00"/>
    <m/>
    <m/>
    <m/>
    <x v="1"/>
    <x v="1"/>
    <m/>
    <m/>
    <m/>
    <n v="0"/>
    <n v="0"/>
  </r>
  <r>
    <s v="L1814"/>
    <x v="0"/>
    <x v="0"/>
    <d v="2025-10-31T00:00:00"/>
    <d v="2025-11-05T00:00:00"/>
    <d v="2025-11-09T00:00:00"/>
    <d v="2025-11-16T00:00:00"/>
    <x v="0"/>
    <x v="0"/>
    <d v="2025-12-04T00:00:00"/>
    <n v="2"/>
    <n v="5"/>
    <n v="4"/>
    <n v="7"/>
  </r>
  <r>
    <s v="L1815"/>
    <x v="1"/>
    <x v="2"/>
    <d v="2025-10-24T00:00:00"/>
    <d v="2025-10-29T00:00:00"/>
    <d v="2025-10-31T00:00:00"/>
    <d v="2025-11-07T00:00:00"/>
    <x v="0"/>
    <x v="0"/>
    <d v="2025-12-04T00:00:00"/>
    <n v="5"/>
    <n v="5"/>
    <n v="2"/>
    <n v="7"/>
  </r>
  <r>
    <s v="L1816"/>
    <x v="3"/>
    <x v="2"/>
    <d v="2025-10-23T00:00:00"/>
    <d v="2025-10-25T00:00:00"/>
    <d v="2025-10-26T00:00:00"/>
    <d v="2025-11-01T00:00:00"/>
    <x v="1"/>
    <x v="4"/>
    <m/>
    <m/>
    <n v="2"/>
    <n v="1"/>
    <n v="6"/>
  </r>
  <r>
    <s v="L1817"/>
    <x v="1"/>
    <x v="2"/>
    <d v="2025-10-31T00:00:00"/>
    <d v="2025-11-02T00:00:00"/>
    <d v="2025-11-04T00:00:00"/>
    <d v="2025-11-06T00:00:00"/>
    <x v="0"/>
    <x v="0"/>
    <d v="2025-12-05T00:00:00"/>
    <n v="8"/>
    <n v="2"/>
    <n v="2"/>
    <n v="2"/>
  </r>
  <r>
    <s v="L1818"/>
    <x v="0"/>
    <x v="2"/>
    <d v="2025-10-18T00:00:00"/>
    <d v="2025-10-23T00:00:00"/>
    <d v="2025-10-27T00:00:00"/>
    <d v="2025-10-30T00:00:00"/>
    <x v="0"/>
    <x v="0"/>
    <d v="2025-11-10T00:00:00"/>
    <n v="8"/>
    <n v="5"/>
    <n v="4"/>
    <n v="3"/>
  </r>
  <r>
    <s v="L1819"/>
    <x v="1"/>
    <x v="1"/>
    <d v="2025-10-14T00:00:00"/>
    <m/>
    <m/>
    <m/>
    <x v="1"/>
    <x v="4"/>
    <m/>
    <m/>
    <m/>
    <n v="0"/>
    <n v="0"/>
  </r>
  <r>
    <s v="L1820"/>
    <x v="0"/>
    <x v="0"/>
    <d v="2025-10-19T00:00:00"/>
    <d v="2025-10-24T00:00:00"/>
    <d v="2025-10-27T00:00:00"/>
    <d v="2025-10-31T00:00:00"/>
    <x v="0"/>
    <x v="0"/>
    <d v="2025-11-29T00:00:00"/>
    <n v="2"/>
    <n v="5"/>
    <n v="3"/>
    <n v="4"/>
  </r>
  <r>
    <s v="L1821"/>
    <x v="3"/>
    <x v="1"/>
    <d v="2025-10-24T00:00:00"/>
    <m/>
    <m/>
    <m/>
    <x v="1"/>
    <x v="3"/>
    <m/>
    <m/>
    <m/>
    <n v="0"/>
    <n v="0"/>
  </r>
  <r>
    <s v="L1822"/>
    <x v="2"/>
    <x v="0"/>
    <d v="2025-10-24T00:00:00"/>
    <d v="2025-10-27T00:00:00"/>
    <d v="2025-10-31T00:00:00"/>
    <d v="2025-11-03T00:00:00"/>
    <x v="0"/>
    <x v="0"/>
    <d v="2025-11-14T00:00:00"/>
    <n v="3"/>
    <n v="3"/>
    <n v="4"/>
    <n v="3"/>
  </r>
  <r>
    <s v="L1823"/>
    <x v="3"/>
    <x v="2"/>
    <d v="2025-10-05T00:00:00"/>
    <d v="2025-10-10T00:00:00"/>
    <d v="2025-10-13T00:00:00"/>
    <d v="2025-10-15T00:00:00"/>
    <x v="0"/>
    <x v="0"/>
    <d v="2025-10-28T00:00:00"/>
    <n v="4"/>
    <n v="5"/>
    <n v="3"/>
    <n v="2"/>
  </r>
  <r>
    <s v="L1824"/>
    <x v="1"/>
    <x v="0"/>
    <d v="2025-10-29T00:00:00"/>
    <d v="2025-10-30T00:00:00"/>
    <d v="2025-11-03T00:00:00"/>
    <d v="2025-11-10T00:00:00"/>
    <x v="1"/>
    <x v="4"/>
    <m/>
    <m/>
    <n v="1"/>
    <n v="4"/>
    <n v="7"/>
  </r>
  <r>
    <s v="L1825"/>
    <x v="1"/>
    <x v="2"/>
    <d v="2025-10-14T00:00:00"/>
    <d v="2025-10-15T00:00:00"/>
    <d v="2025-10-16T00:00:00"/>
    <d v="2025-10-19T00:00:00"/>
    <x v="0"/>
    <x v="0"/>
    <d v="2025-11-18T00:00:00"/>
    <n v="3"/>
    <n v="1"/>
    <n v="1"/>
    <n v="3"/>
  </r>
  <r>
    <s v="L1826"/>
    <x v="3"/>
    <x v="0"/>
    <d v="2025-10-21T00:00:00"/>
    <d v="2025-10-22T00:00:00"/>
    <d v="2025-10-25T00:00:00"/>
    <d v="2025-10-29T00:00:00"/>
    <x v="0"/>
    <x v="0"/>
    <d v="2025-11-08T00:00:00"/>
    <n v="6"/>
    <n v="1"/>
    <n v="3"/>
    <n v="4"/>
  </r>
  <r>
    <s v="L1827"/>
    <x v="3"/>
    <x v="1"/>
    <d v="2025-10-04T00:00:00"/>
    <m/>
    <m/>
    <m/>
    <x v="1"/>
    <x v="4"/>
    <m/>
    <m/>
    <m/>
    <n v="0"/>
    <n v="0"/>
  </r>
  <r>
    <s v="L1828"/>
    <x v="0"/>
    <x v="0"/>
    <d v="2025-10-27T00:00:00"/>
    <d v="2025-10-28T00:00:00"/>
    <d v="2025-10-31T00:00:00"/>
    <d v="2025-11-05T00:00:00"/>
    <x v="0"/>
    <x v="0"/>
    <d v="2025-11-16T00:00:00"/>
    <n v="2"/>
    <n v="1"/>
    <n v="3"/>
    <n v="5"/>
  </r>
  <r>
    <s v="L1829"/>
    <x v="1"/>
    <x v="0"/>
    <d v="2025-10-16T00:00:00"/>
    <d v="2025-10-21T00:00:00"/>
    <d v="2025-10-23T00:00:00"/>
    <d v="2025-10-29T00:00:00"/>
    <x v="1"/>
    <x v="2"/>
    <m/>
    <m/>
    <n v="5"/>
    <n v="2"/>
    <n v="6"/>
  </r>
  <r>
    <s v="L1830"/>
    <x v="1"/>
    <x v="2"/>
    <d v="2025-10-20T00:00:00"/>
    <d v="2025-10-23T00:00:00"/>
    <d v="2025-10-27T00:00:00"/>
    <d v="2025-10-29T00:00:00"/>
    <x v="1"/>
    <x v="5"/>
    <m/>
    <m/>
    <n v="3"/>
    <n v="4"/>
    <n v="2"/>
  </r>
  <r>
    <s v="L1831"/>
    <x v="3"/>
    <x v="2"/>
    <d v="2025-10-14T00:00:00"/>
    <d v="2025-10-16T00:00:00"/>
    <d v="2025-10-21T00:00:00"/>
    <d v="2025-10-28T00:00:00"/>
    <x v="0"/>
    <x v="0"/>
    <d v="2025-11-10T00:00:00"/>
    <n v="9"/>
    <n v="2"/>
    <n v="5"/>
    <n v="7"/>
  </r>
  <r>
    <s v="L1832"/>
    <x v="2"/>
    <x v="2"/>
    <d v="2025-10-31T00:00:00"/>
    <d v="2025-11-05T00:00:00"/>
    <d v="2025-11-10T00:00:00"/>
    <d v="2025-11-14T00:00:00"/>
    <x v="0"/>
    <x v="0"/>
    <d v="2025-12-07T00:00:00"/>
    <n v="9"/>
    <n v="5"/>
    <n v="5"/>
    <n v="4"/>
  </r>
  <r>
    <s v="L1833"/>
    <x v="1"/>
    <x v="0"/>
    <d v="2025-10-31T00:00:00"/>
    <d v="2025-11-04T00:00:00"/>
    <d v="2025-11-06T00:00:00"/>
    <d v="2025-11-10T00:00:00"/>
    <x v="0"/>
    <x v="0"/>
    <d v="2025-12-04T00:00:00"/>
    <n v="6"/>
    <n v="4"/>
    <n v="2"/>
    <n v="4"/>
  </r>
  <r>
    <s v="L1834"/>
    <x v="2"/>
    <x v="2"/>
    <d v="2025-10-09T00:00:00"/>
    <d v="2025-10-14T00:00:00"/>
    <d v="2025-10-18T00:00:00"/>
    <d v="2025-10-21T00:00:00"/>
    <x v="0"/>
    <x v="0"/>
    <d v="2025-11-12T00:00:00"/>
    <n v="8"/>
    <n v="5"/>
    <n v="4"/>
    <n v="3"/>
  </r>
  <r>
    <s v="L1835"/>
    <x v="3"/>
    <x v="0"/>
    <d v="2025-10-02T00:00:00"/>
    <d v="2025-10-03T00:00:00"/>
    <d v="2025-10-04T00:00:00"/>
    <d v="2025-10-06T00:00:00"/>
    <x v="1"/>
    <x v="3"/>
    <m/>
    <m/>
    <n v="1"/>
    <n v="1"/>
    <n v="2"/>
  </r>
  <r>
    <s v="L1836"/>
    <x v="3"/>
    <x v="0"/>
    <d v="2025-10-23T00:00:00"/>
    <d v="2025-10-27T00:00:00"/>
    <d v="2025-10-29T00:00:00"/>
    <d v="2025-11-03T00:00:00"/>
    <x v="0"/>
    <x v="0"/>
    <d v="2025-11-16T00:00:00"/>
    <n v="2"/>
    <n v="4"/>
    <n v="2"/>
    <n v="5"/>
  </r>
  <r>
    <s v="L1837"/>
    <x v="0"/>
    <x v="0"/>
    <d v="2025-10-12T00:00:00"/>
    <d v="2025-10-17T00:00:00"/>
    <d v="2025-10-20T00:00:00"/>
    <d v="2025-10-25T00:00:00"/>
    <x v="0"/>
    <x v="0"/>
    <d v="2025-11-21T00:00:00"/>
    <n v="6"/>
    <n v="5"/>
    <n v="3"/>
    <n v="5"/>
  </r>
  <r>
    <s v="L1838"/>
    <x v="1"/>
    <x v="2"/>
    <d v="2025-10-07T00:00:00"/>
    <d v="2025-10-10T00:00:00"/>
    <d v="2025-10-11T00:00:00"/>
    <d v="2025-10-17T00:00:00"/>
    <x v="0"/>
    <x v="0"/>
    <d v="2025-11-04T00:00:00"/>
    <n v="6"/>
    <n v="3"/>
    <n v="1"/>
    <n v="6"/>
  </r>
  <r>
    <s v="L1839"/>
    <x v="2"/>
    <x v="2"/>
    <d v="2025-10-15T00:00:00"/>
    <d v="2025-10-18T00:00:00"/>
    <d v="2025-10-22T00:00:00"/>
    <d v="2025-10-29T00:00:00"/>
    <x v="0"/>
    <x v="0"/>
    <d v="2025-11-23T00:00:00"/>
    <n v="9"/>
    <n v="3"/>
    <n v="4"/>
    <n v="7"/>
  </r>
  <r>
    <s v="L1840"/>
    <x v="0"/>
    <x v="1"/>
    <d v="2025-10-15T00:00:00"/>
    <m/>
    <m/>
    <m/>
    <x v="1"/>
    <x v="3"/>
    <m/>
    <m/>
    <m/>
    <n v="0"/>
    <n v="0"/>
  </r>
  <r>
    <s v="L1841"/>
    <x v="1"/>
    <x v="0"/>
    <d v="2025-10-31T00:00:00"/>
    <d v="2025-11-04T00:00:00"/>
    <d v="2025-11-07T00:00:00"/>
    <d v="2025-11-13T00:00:00"/>
    <x v="0"/>
    <x v="0"/>
    <d v="2025-11-27T00:00:00"/>
    <n v="9"/>
    <n v="4"/>
    <n v="3"/>
    <n v="6"/>
  </r>
  <r>
    <s v="L1842"/>
    <x v="0"/>
    <x v="0"/>
    <d v="2025-10-08T00:00:00"/>
    <d v="2025-10-10T00:00:00"/>
    <d v="2025-10-15T00:00:00"/>
    <d v="2025-10-18T00:00:00"/>
    <x v="0"/>
    <x v="0"/>
    <d v="2025-11-03T00:00:00"/>
    <n v="0"/>
    <n v="2"/>
    <n v="5"/>
    <n v="3"/>
  </r>
  <r>
    <s v="L1843"/>
    <x v="3"/>
    <x v="2"/>
    <d v="2025-10-28T00:00:00"/>
    <d v="2025-11-01T00:00:00"/>
    <d v="2025-11-05T00:00:00"/>
    <d v="2025-11-07T00:00:00"/>
    <x v="1"/>
    <x v="3"/>
    <m/>
    <m/>
    <n v="4"/>
    <n v="4"/>
    <n v="2"/>
  </r>
  <r>
    <s v="L1844"/>
    <x v="1"/>
    <x v="1"/>
    <d v="2025-10-12T00:00:00"/>
    <m/>
    <m/>
    <m/>
    <x v="1"/>
    <x v="2"/>
    <m/>
    <m/>
    <m/>
    <n v="0"/>
    <n v="0"/>
  </r>
  <r>
    <s v="L1845"/>
    <x v="0"/>
    <x v="0"/>
    <d v="2025-10-04T00:00:00"/>
    <d v="2025-10-07T00:00:00"/>
    <d v="2025-10-10T00:00:00"/>
    <d v="2025-10-15T00:00:00"/>
    <x v="0"/>
    <x v="0"/>
    <d v="2025-11-14T00:00:00"/>
    <n v="7"/>
    <n v="3"/>
    <n v="3"/>
    <n v="5"/>
  </r>
  <r>
    <s v="L1846"/>
    <x v="0"/>
    <x v="0"/>
    <d v="2025-10-22T00:00:00"/>
    <d v="2025-10-26T00:00:00"/>
    <d v="2025-10-30T00:00:00"/>
    <d v="2025-11-01T00:00:00"/>
    <x v="0"/>
    <x v="0"/>
    <d v="2025-11-11T00:00:00"/>
    <n v="3"/>
    <n v="4"/>
    <n v="4"/>
    <n v="2"/>
  </r>
  <r>
    <s v="L1847"/>
    <x v="2"/>
    <x v="1"/>
    <d v="2025-10-12T00:00:00"/>
    <m/>
    <m/>
    <m/>
    <x v="1"/>
    <x v="4"/>
    <m/>
    <m/>
    <m/>
    <n v="0"/>
    <n v="0"/>
  </r>
  <r>
    <s v="L1848"/>
    <x v="0"/>
    <x v="2"/>
    <d v="2025-10-18T00:00:00"/>
    <d v="2025-10-19T00:00:00"/>
    <d v="2025-10-22T00:00:00"/>
    <d v="2025-10-25T00:00:00"/>
    <x v="0"/>
    <x v="0"/>
    <d v="2025-11-13T00:00:00"/>
    <n v="5"/>
    <n v="1"/>
    <n v="3"/>
    <n v="3"/>
  </r>
  <r>
    <s v="L1849"/>
    <x v="1"/>
    <x v="0"/>
    <d v="2025-10-29T00:00:00"/>
    <d v="2025-10-30T00:00:00"/>
    <d v="2025-11-03T00:00:00"/>
    <d v="2025-11-05T00:00:00"/>
    <x v="0"/>
    <x v="0"/>
    <d v="2025-11-28T00:00:00"/>
    <n v="6"/>
    <n v="1"/>
    <n v="4"/>
    <n v="2"/>
  </r>
  <r>
    <s v="L1850"/>
    <x v="1"/>
    <x v="0"/>
    <d v="2025-10-21T00:00:00"/>
    <d v="2025-10-23T00:00:00"/>
    <d v="2025-10-28T00:00:00"/>
    <d v="2025-10-30T00:00:00"/>
    <x v="0"/>
    <x v="0"/>
    <d v="2025-11-12T00:00:00"/>
    <n v="4"/>
    <n v="2"/>
    <n v="5"/>
    <n v="2"/>
  </r>
  <r>
    <s v="L1851"/>
    <x v="2"/>
    <x v="2"/>
    <d v="2025-10-12T00:00:00"/>
    <d v="2025-10-16T00:00:00"/>
    <d v="2025-10-18T00:00:00"/>
    <d v="2025-10-20T00:00:00"/>
    <x v="0"/>
    <x v="0"/>
    <d v="2025-11-15T00:00:00"/>
    <n v="9"/>
    <n v="4"/>
    <n v="2"/>
    <n v="2"/>
  </r>
  <r>
    <s v="L1852"/>
    <x v="1"/>
    <x v="1"/>
    <d v="2025-10-02T00:00:00"/>
    <m/>
    <m/>
    <m/>
    <x v="1"/>
    <x v="5"/>
    <m/>
    <m/>
    <m/>
    <n v="0"/>
    <n v="0"/>
  </r>
  <r>
    <s v="L1853"/>
    <x v="3"/>
    <x v="0"/>
    <d v="2025-10-13T00:00:00"/>
    <d v="2025-10-17T00:00:00"/>
    <d v="2025-10-20T00:00:00"/>
    <d v="2025-10-23T00:00:00"/>
    <x v="1"/>
    <x v="1"/>
    <m/>
    <m/>
    <n v="4"/>
    <n v="3"/>
    <n v="3"/>
  </r>
  <r>
    <s v="L1854"/>
    <x v="1"/>
    <x v="0"/>
    <d v="2025-10-09T00:00:00"/>
    <d v="2025-10-13T00:00:00"/>
    <d v="2025-10-16T00:00:00"/>
    <d v="2025-10-19T00:00:00"/>
    <x v="0"/>
    <x v="0"/>
    <d v="2025-11-06T00:00:00"/>
    <n v="2"/>
    <n v="4"/>
    <n v="3"/>
    <n v="3"/>
  </r>
  <r>
    <s v="L1855"/>
    <x v="1"/>
    <x v="2"/>
    <d v="2025-10-07T00:00:00"/>
    <d v="2025-10-11T00:00:00"/>
    <d v="2025-10-16T00:00:00"/>
    <d v="2025-10-19T00:00:00"/>
    <x v="0"/>
    <x v="0"/>
    <d v="2025-11-17T00:00:00"/>
    <n v="7"/>
    <n v="4"/>
    <n v="5"/>
    <n v="3"/>
  </r>
  <r>
    <s v="L1856"/>
    <x v="0"/>
    <x v="2"/>
    <d v="2025-10-31T00:00:00"/>
    <d v="2025-11-02T00:00:00"/>
    <d v="2025-11-04T00:00:00"/>
    <d v="2025-11-09T00:00:00"/>
    <x v="0"/>
    <x v="0"/>
    <d v="2025-12-08T00:00:00"/>
    <n v="1"/>
    <n v="2"/>
    <n v="2"/>
    <n v="5"/>
  </r>
  <r>
    <s v="L1857"/>
    <x v="0"/>
    <x v="0"/>
    <d v="2025-10-04T00:00:00"/>
    <d v="2025-10-07T00:00:00"/>
    <d v="2025-10-11T00:00:00"/>
    <d v="2025-10-15T00:00:00"/>
    <x v="0"/>
    <x v="0"/>
    <d v="2025-10-29T00:00:00"/>
    <n v="3"/>
    <n v="3"/>
    <n v="4"/>
    <n v="4"/>
  </r>
  <r>
    <s v="L1858"/>
    <x v="1"/>
    <x v="0"/>
    <d v="2025-10-31T00:00:00"/>
    <d v="2025-11-05T00:00:00"/>
    <d v="2025-11-08T00:00:00"/>
    <d v="2025-11-15T00:00:00"/>
    <x v="0"/>
    <x v="0"/>
    <d v="2025-12-08T00:00:00"/>
    <n v="7"/>
    <n v="5"/>
    <n v="3"/>
    <n v="7"/>
  </r>
  <r>
    <s v="L1859"/>
    <x v="2"/>
    <x v="2"/>
    <d v="2025-10-28T00:00:00"/>
    <d v="2025-10-30T00:00:00"/>
    <d v="2025-11-01T00:00:00"/>
    <d v="2025-11-08T00:00:00"/>
    <x v="0"/>
    <x v="0"/>
    <d v="2025-11-21T00:00:00"/>
    <n v="4"/>
    <n v="2"/>
    <n v="2"/>
    <n v="7"/>
  </r>
  <r>
    <s v="L1860"/>
    <x v="0"/>
    <x v="0"/>
    <d v="2025-10-27T00:00:00"/>
    <d v="2025-10-30T00:00:00"/>
    <d v="2025-11-03T00:00:00"/>
    <d v="2025-11-10T00:00:00"/>
    <x v="0"/>
    <x v="0"/>
    <d v="2025-12-06T00:00:00"/>
    <n v="2"/>
    <n v="3"/>
    <n v="4"/>
    <n v="7"/>
  </r>
  <r>
    <s v="L1861"/>
    <x v="2"/>
    <x v="0"/>
    <d v="2025-10-15T00:00:00"/>
    <d v="2025-10-18T00:00:00"/>
    <d v="2025-10-21T00:00:00"/>
    <d v="2025-10-23T00:00:00"/>
    <x v="0"/>
    <x v="0"/>
    <d v="2025-11-21T00:00:00"/>
    <n v="5"/>
    <n v="3"/>
    <n v="3"/>
    <n v="2"/>
  </r>
  <r>
    <s v="L1862"/>
    <x v="1"/>
    <x v="2"/>
    <d v="2025-10-03T00:00:00"/>
    <d v="2025-10-06T00:00:00"/>
    <d v="2025-10-09T00:00:00"/>
    <d v="2025-10-15T00:00:00"/>
    <x v="1"/>
    <x v="4"/>
    <m/>
    <m/>
    <n v="3"/>
    <n v="3"/>
    <n v="6"/>
  </r>
  <r>
    <s v="L1863"/>
    <x v="1"/>
    <x v="0"/>
    <d v="2025-10-22T00:00:00"/>
    <d v="2025-10-26T00:00:00"/>
    <d v="2025-10-30T00:00:00"/>
    <d v="2025-11-05T00:00:00"/>
    <x v="0"/>
    <x v="0"/>
    <d v="2025-11-18T00:00:00"/>
    <n v="9"/>
    <n v="4"/>
    <n v="4"/>
    <n v="6"/>
  </r>
  <r>
    <s v="L1864"/>
    <x v="3"/>
    <x v="2"/>
    <d v="2025-10-07T00:00:00"/>
    <d v="2025-10-09T00:00:00"/>
    <d v="2025-10-14T00:00:00"/>
    <d v="2025-10-18T00:00:00"/>
    <x v="0"/>
    <x v="0"/>
    <d v="2025-11-06T00:00:00"/>
    <n v="4"/>
    <n v="2"/>
    <n v="5"/>
    <n v="4"/>
  </r>
  <r>
    <s v="L1865"/>
    <x v="0"/>
    <x v="1"/>
    <d v="2025-10-21T00:00:00"/>
    <m/>
    <m/>
    <m/>
    <x v="1"/>
    <x v="2"/>
    <m/>
    <m/>
    <m/>
    <n v="0"/>
    <n v="0"/>
  </r>
  <r>
    <s v="L1866"/>
    <x v="1"/>
    <x v="0"/>
    <d v="2025-10-21T00:00:00"/>
    <d v="2025-10-24T00:00:00"/>
    <d v="2025-10-26T00:00:00"/>
    <d v="2025-10-28T00:00:00"/>
    <x v="0"/>
    <x v="0"/>
    <d v="2025-11-10T00:00:00"/>
    <n v="9"/>
    <n v="3"/>
    <n v="2"/>
    <n v="2"/>
  </r>
  <r>
    <s v="L1867"/>
    <x v="3"/>
    <x v="2"/>
    <d v="2025-10-20T00:00:00"/>
    <d v="2025-10-25T00:00:00"/>
    <d v="2025-10-28T00:00:00"/>
    <d v="2025-10-30T00:00:00"/>
    <x v="0"/>
    <x v="0"/>
    <d v="2025-11-12T00:00:00"/>
    <n v="9"/>
    <n v="5"/>
    <n v="3"/>
    <n v="2"/>
  </r>
  <r>
    <s v="L1868"/>
    <x v="0"/>
    <x v="0"/>
    <d v="2025-10-01T00:00:00"/>
    <d v="2025-10-06T00:00:00"/>
    <d v="2025-10-10T00:00:00"/>
    <d v="2025-10-12T00:00:00"/>
    <x v="0"/>
    <x v="0"/>
    <d v="2025-11-06T00:00:00"/>
    <n v="5"/>
    <n v="5"/>
    <n v="4"/>
    <n v="2"/>
  </r>
  <r>
    <s v="L1869"/>
    <x v="1"/>
    <x v="0"/>
    <d v="2025-10-02T00:00:00"/>
    <d v="2025-10-03T00:00:00"/>
    <d v="2025-10-06T00:00:00"/>
    <d v="2025-10-09T00:00:00"/>
    <x v="0"/>
    <x v="0"/>
    <d v="2025-10-25T00:00:00"/>
    <n v="1"/>
    <n v="1"/>
    <n v="3"/>
    <n v="3"/>
  </r>
  <r>
    <s v="L1870"/>
    <x v="1"/>
    <x v="0"/>
    <d v="2025-10-26T00:00:00"/>
    <d v="2025-10-29T00:00:00"/>
    <d v="2025-11-02T00:00:00"/>
    <d v="2025-11-09T00:00:00"/>
    <x v="0"/>
    <x v="0"/>
    <d v="2025-12-08T00:00:00"/>
    <n v="8"/>
    <n v="3"/>
    <n v="4"/>
    <n v="7"/>
  </r>
  <r>
    <s v="L1871"/>
    <x v="0"/>
    <x v="0"/>
    <d v="2025-10-11T00:00:00"/>
    <d v="2025-10-13T00:00:00"/>
    <d v="2025-10-16T00:00:00"/>
    <d v="2025-10-21T00:00:00"/>
    <x v="0"/>
    <x v="0"/>
    <d v="2025-11-06T00:00:00"/>
    <n v="7"/>
    <n v="2"/>
    <n v="3"/>
    <n v="5"/>
  </r>
  <r>
    <s v="L1872"/>
    <x v="0"/>
    <x v="0"/>
    <d v="2025-10-08T00:00:00"/>
    <d v="2025-10-12T00:00:00"/>
    <d v="2025-10-13T00:00:00"/>
    <d v="2025-10-16T00:00:00"/>
    <x v="0"/>
    <x v="0"/>
    <d v="2025-11-03T00:00:00"/>
    <n v="5"/>
    <n v="4"/>
    <n v="1"/>
    <n v="3"/>
  </r>
  <r>
    <s v="L1873"/>
    <x v="0"/>
    <x v="2"/>
    <d v="2025-10-05T00:00:00"/>
    <d v="2025-10-06T00:00:00"/>
    <d v="2025-10-11T00:00:00"/>
    <d v="2025-10-13T00:00:00"/>
    <x v="0"/>
    <x v="0"/>
    <d v="2025-11-08T00:00:00"/>
    <n v="4"/>
    <n v="1"/>
    <n v="5"/>
    <n v="2"/>
  </r>
  <r>
    <s v="L1874"/>
    <x v="1"/>
    <x v="2"/>
    <d v="2025-10-26T00:00:00"/>
    <d v="2025-10-29T00:00:00"/>
    <d v="2025-10-31T00:00:00"/>
    <d v="2025-11-04T00:00:00"/>
    <x v="0"/>
    <x v="0"/>
    <d v="2025-11-20T00:00:00"/>
    <n v="3"/>
    <n v="3"/>
    <n v="2"/>
    <n v="4"/>
  </r>
  <r>
    <s v="L1875"/>
    <x v="1"/>
    <x v="2"/>
    <d v="2025-10-19T00:00:00"/>
    <d v="2025-10-23T00:00:00"/>
    <d v="2025-10-28T00:00:00"/>
    <d v="2025-10-30T00:00:00"/>
    <x v="0"/>
    <x v="0"/>
    <d v="2025-11-20T00:00:00"/>
    <n v="6"/>
    <n v="4"/>
    <n v="5"/>
    <n v="2"/>
  </r>
  <r>
    <s v="L1876"/>
    <x v="3"/>
    <x v="0"/>
    <d v="2025-10-07T00:00:00"/>
    <d v="2025-10-09T00:00:00"/>
    <d v="2025-10-14T00:00:00"/>
    <d v="2025-10-16T00:00:00"/>
    <x v="0"/>
    <x v="0"/>
    <d v="2025-11-08T00:00:00"/>
    <n v="2"/>
    <n v="2"/>
    <n v="5"/>
    <n v="2"/>
  </r>
  <r>
    <s v="L1877"/>
    <x v="2"/>
    <x v="1"/>
    <d v="2025-10-03T00:00:00"/>
    <m/>
    <m/>
    <m/>
    <x v="1"/>
    <x v="4"/>
    <m/>
    <m/>
    <m/>
    <n v="0"/>
    <n v="0"/>
  </r>
  <r>
    <s v="L1878"/>
    <x v="0"/>
    <x v="0"/>
    <d v="2025-10-27T00:00:00"/>
    <d v="2025-10-29T00:00:00"/>
    <d v="2025-10-31T00:00:00"/>
    <d v="2025-11-05T00:00:00"/>
    <x v="0"/>
    <x v="0"/>
    <d v="2025-11-24T00:00:00"/>
    <n v="4"/>
    <n v="2"/>
    <n v="2"/>
    <n v="5"/>
  </r>
  <r>
    <s v="L1879"/>
    <x v="1"/>
    <x v="2"/>
    <d v="2025-10-25T00:00:00"/>
    <d v="2025-10-26T00:00:00"/>
    <d v="2025-10-31T00:00:00"/>
    <d v="2025-11-02T00:00:00"/>
    <x v="0"/>
    <x v="0"/>
    <d v="2025-11-17T00:00:00"/>
    <n v="4"/>
    <n v="1"/>
    <n v="5"/>
    <n v="2"/>
  </r>
  <r>
    <s v="L1880"/>
    <x v="1"/>
    <x v="0"/>
    <d v="2025-10-18T00:00:00"/>
    <d v="2025-10-19T00:00:00"/>
    <d v="2025-10-20T00:00:00"/>
    <d v="2025-10-23T00:00:00"/>
    <x v="0"/>
    <x v="0"/>
    <d v="2025-11-03T00:00:00"/>
    <n v="2"/>
    <n v="1"/>
    <n v="1"/>
    <n v="3"/>
  </r>
  <r>
    <s v="L1881"/>
    <x v="0"/>
    <x v="1"/>
    <d v="2025-10-07T00:00:00"/>
    <m/>
    <m/>
    <m/>
    <x v="1"/>
    <x v="4"/>
    <m/>
    <m/>
    <m/>
    <n v="0"/>
    <n v="0"/>
  </r>
  <r>
    <s v="L1882"/>
    <x v="2"/>
    <x v="0"/>
    <d v="2025-10-19T00:00:00"/>
    <d v="2025-10-22T00:00:00"/>
    <d v="2025-10-26T00:00:00"/>
    <d v="2025-11-01T00:00:00"/>
    <x v="0"/>
    <x v="0"/>
    <d v="2025-11-28T00:00:00"/>
    <n v="4"/>
    <n v="3"/>
    <n v="4"/>
    <n v="6"/>
  </r>
  <r>
    <s v="L1883"/>
    <x v="0"/>
    <x v="1"/>
    <d v="2025-10-07T00:00:00"/>
    <m/>
    <m/>
    <m/>
    <x v="1"/>
    <x v="2"/>
    <m/>
    <m/>
    <m/>
    <n v="0"/>
    <n v="0"/>
  </r>
  <r>
    <s v="L1884"/>
    <x v="2"/>
    <x v="2"/>
    <d v="2025-10-27T00:00:00"/>
    <d v="2025-10-31T00:00:00"/>
    <d v="2025-11-02T00:00:00"/>
    <d v="2025-11-07T00:00:00"/>
    <x v="0"/>
    <x v="0"/>
    <d v="2025-12-02T00:00:00"/>
    <n v="7"/>
    <n v="4"/>
    <n v="2"/>
    <n v="5"/>
  </r>
  <r>
    <s v="L1885"/>
    <x v="1"/>
    <x v="2"/>
    <d v="2025-10-28T00:00:00"/>
    <d v="2025-11-02T00:00:00"/>
    <d v="2025-11-06T00:00:00"/>
    <d v="2025-11-13T00:00:00"/>
    <x v="0"/>
    <x v="0"/>
    <d v="2025-11-29T00:00:00"/>
    <n v="3"/>
    <n v="5"/>
    <n v="4"/>
    <n v="7"/>
  </r>
  <r>
    <s v="L1886"/>
    <x v="2"/>
    <x v="1"/>
    <d v="2025-10-08T00:00:00"/>
    <m/>
    <m/>
    <m/>
    <x v="1"/>
    <x v="3"/>
    <m/>
    <m/>
    <m/>
    <n v="0"/>
    <n v="0"/>
  </r>
  <r>
    <s v="L1887"/>
    <x v="3"/>
    <x v="0"/>
    <d v="2025-10-11T00:00:00"/>
    <d v="2025-10-15T00:00:00"/>
    <d v="2025-10-18T00:00:00"/>
    <d v="2025-10-23T00:00:00"/>
    <x v="0"/>
    <x v="0"/>
    <d v="2025-11-17T00:00:00"/>
    <n v="7"/>
    <n v="4"/>
    <n v="3"/>
    <n v="5"/>
  </r>
  <r>
    <s v="L1888"/>
    <x v="1"/>
    <x v="0"/>
    <d v="2025-10-25T00:00:00"/>
    <d v="2025-10-27T00:00:00"/>
    <d v="2025-10-28T00:00:00"/>
    <d v="2025-11-02T00:00:00"/>
    <x v="0"/>
    <x v="0"/>
    <d v="2025-11-22T00:00:00"/>
    <n v="9"/>
    <n v="2"/>
    <n v="1"/>
    <n v="5"/>
  </r>
  <r>
    <s v="L1889"/>
    <x v="3"/>
    <x v="0"/>
    <d v="2025-10-05T00:00:00"/>
    <d v="2025-10-07T00:00:00"/>
    <d v="2025-10-11T00:00:00"/>
    <d v="2025-10-13T00:00:00"/>
    <x v="0"/>
    <x v="0"/>
    <d v="2025-10-30T00:00:00"/>
    <n v="4"/>
    <n v="2"/>
    <n v="4"/>
    <n v="2"/>
  </r>
  <r>
    <s v="L1890"/>
    <x v="0"/>
    <x v="1"/>
    <d v="2025-10-26T00:00:00"/>
    <m/>
    <m/>
    <m/>
    <x v="1"/>
    <x v="3"/>
    <m/>
    <m/>
    <m/>
    <n v="0"/>
    <n v="0"/>
  </r>
  <r>
    <s v="L1891"/>
    <x v="0"/>
    <x v="0"/>
    <d v="2025-10-29T00:00:00"/>
    <d v="2025-11-01T00:00:00"/>
    <d v="2025-11-05T00:00:00"/>
    <d v="2025-11-10T00:00:00"/>
    <x v="0"/>
    <x v="0"/>
    <d v="2025-11-20T00:00:00"/>
    <n v="7"/>
    <n v="3"/>
    <n v="4"/>
    <n v="5"/>
  </r>
  <r>
    <s v="L1892"/>
    <x v="0"/>
    <x v="0"/>
    <d v="2025-10-20T00:00:00"/>
    <d v="2025-10-25T00:00:00"/>
    <d v="2025-10-27T00:00:00"/>
    <d v="2025-11-03T00:00:00"/>
    <x v="0"/>
    <x v="0"/>
    <d v="2025-11-13T00:00:00"/>
    <n v="7"/>
    <n v="5"/>
    <n v="2"/>
    <n v="7"/>
  </r>
  <r>
    <s v="L1893"/>
    <x v="2"/>
    <x v="0"/>
    <d v="2025-10-01T00:00:00"/>
    <d v="2025-10-04T00:00:00"/>
    <d v="2025-10-07T00:00:00"/>
    <d v="2025-10-12T00:00:00"/>
    <x v="0"/>
    <x v="0"/>
    <d v="2025-10-24T00:00:00"/>
    <n v="7"/>
    <n v="3"/>
    <n v="3"/>
    <n v="5"/>
  </r>
  <r>
    <s v="L1894"/>
    <x v="1"/>
    <x v="0"/>
    <d v="2025-10-09T00:00:00"/>
    <d v="2025-10-11T00:00:00"/>
    <d v="2025-10-13T00:00:00"/>
    <d v="2025-10-16T00:00:00"/>
    <x v="0"/>
    <x v="0"/>
    <d v="2025-10-29T00:00:00"/>
    <n v="1"/>
    <n v="2"/>
    <n v="2"/>
    <n v="3"/>
  </r>
  <r>
    <s v="L1895"/>
    <x v="0"/>
    <x v="0"/>
    <d v="2025-10-28T00:00:00"/>
    <d v="2025-10-30T00:00:00"/>
    <d v="2025-11-02T00:00:00"/>
    <d v="2025-11-06T00:00:00"/>
    <x v="1"/>
    <x v="5"/>
    <m/>
    <m/>
    <n v="2"/>
    <n v="3"/>
    <n v="4"/>
  </r>
  <r>
    <s v="L1896"/>
    <x v="0"/>
    <x v="1"/>
    <d v="2025-10-05T00:00:00"/>
    <m/>
    <m/>
    <m/>
    <x v="1"/>
    <x v="5"/>
    <m/>
    <m/>
    <m/>
    <n v="0"/>
    <n v="0"/>
  </r>
  <r>
    <s v="L1897"/>
    <x v="1"/>
    <x v="1"/>
    <d v="2025-10-05T00:00:00"/>
    <m/>
    <m/>
    <m/>
    <x v="1"/>
    <x v="3"/>
    <m/>
    <m/>
    <m/>
    <n v="0"/>
    <n v="0"/>
  </r>
  <r>
    <s v="L1898"/>
    <x v="0"/>
    <x v="1"/>
    <d v="2025-10-18T00:00:00"/>
    <m/>
    <m/>
    <m/>
    <x v="1"/>
    <x v="1"/>
    <m/>
    <m/>
    <m/>
    <n v="0"/>
    <n v="0"/>
  </r>
  <r>
    <s v="L1899"/>
    <x v="3"/>
    <x v="2"/>
    <d v="2025-10-09T00:00:00"/>
    <d v="2025-10-13T00:00:00"/>
    <d v="2025-10-15T00:00:00"/>
    <d v="2025-10-18T00:00:00"/>
    <x v="0"/>
    <x v="0"/>
    <d v="2025-11-15T00:00:00"/>
    <n v="9"/>
    <n v="4"/>
    <n v="2"/>
    <n v="3"/>
  </r>
  <r>
    <s v="L1900"/>
    <x v="1"/>
    <x v="0"/>
    <d v="2025-10-26T00:00:00"/>
    <d v="2025-10-31T00:00:00"/>
    <d v="2025-11-04T00:00:00"/>
    <d v="2025-11-07T00:00:00"/>
    <x v="0"/>
    <x v="0"/>
    <d v="2025-12-02T00:00:00"/>
    <n v="10"/>
    <n v="5"/>
    <n v="4"/>
    <n v="3"/>
  </r>
  <r>
    <s v="L1901"/>
    <x v="1"/>
    <x v="0"/>
    <d v="2025-10-06T00:00:00"/>
    <d v="2025-10-10T00:00:00"/>
    <d v="2025-10-14T00:00:00"/>
    <d v="2025-10-18T00:00:00"/>
    <x v="0"/>
    <x v="0"/>
    <d v="2025-11-01T00:00:00"/>
    <n v="0"/>
    <n v="4"/>
    <n v="4"/>
    <n v="4"/>
  </r>
  <r>
    <s v="L1902"/>
    <x v="1"/>
    <x v="0"/>
    <d v="2025-10-04T00:00:00"/>
    <d v="2025-10-08T00:00:00"/>
    <d v="2025-10-09T00:00:00"/>
    <d v="2025-10-13T00:00:00"/>
    <x v="0"/>
    <x v="0"/>
    <d v="2025-10-25T00:00:00"/>
    <n v="5"/>
    <n v="4"/>
    <n v="1"/>
    <n v="4"/>
  </r>
  <r>
    <s v="L1903"/>
    <x v="3"/>
    <x v="0"/>
    <d v="2025-10-22T00:00:00"/>
    <d v="2025-10-25T00:00:00"/>
    <d v="2025-10-29T00:00:00"/>
    <d v="2025-11-03T00:00:00"/>
    <x v="0"/>
    <x v="0"/>
    <d v="2025-11-29T00:00:00"/>
    <n v="9"/>
    <n v="3"/>
    <n v="4"/>
    <n v="5"/>
  </r>
  <r>
    <s v="L1904"/>
    <x v="1"/>
    <x v="1"/>
    <d v="2025-10-28T00:00:00"/>
    <m/>
    <m/>
    <m/>
    <x v="1"/>
    <x v="4"/>
    <m/>
    <m/>
    <m/>
    <n v="0"/>
    <n v="0"/>
  </r>
  <r>
    <s v="L1905"/>
    <x v="3"/>
    <x v="0"/>
    <d v="2025-10-01T00:00:00"/>
    <d v="2025-10-05T00:00:00"/>
    <d v="2025-10-10T00:00:00"/>
    <d v="2025-10-13T00:00:00"/>
    <x v="0"/>
    <x v="0"/>
    <d v="2025-10-25T00:00:00"/>
    <n v="7"/>
    <n v="4"/>
    <n v="5"/>
    <n v="3"/>
  </r>
  <r>
    <s v="L1906"/>
    <x v="1"/>
    <x v="0"/>
    <d v="2025-10-05T00:00:00"/>
    <d v="2025-10-06T00:00:00"/>
    <d v="2025-10-10T00:00:00"/>
    <d v="2025-10-12T00:00:00"/>
    <x v="0"/>
    <x v="0"/>
    <d v="2025-10-25T00:00:00"/>
    <n v="4"/>
    <n v="1"/>
    <n v="4"/>
    <n v="2"/>
  </r>
  <r>
    <s v="L1907"/>
    <x v="2"/>
    <x v="2"/>
    <d v="2025-10-01T00:00:00"/>
    <d v="2025-10-02T00:00:00"/>
    <d v="2025-10-07T00:00:00"/>
    <d v="2025-10-13T00:00:00"/>
    <x v="0"/>
    <x v="0"/>
    <d v="2025-10-31T00:00:00"/>
    <n v="2"/>
    <n v="1"/>
    <n v="5"/>
    <n v="6"/>
  </r>
  <r>
    <s v="L1908"/>
    <x v="0"/>
    <x v="0"/>
    <d v="2025-10-12T00:00:00"/>
    <d v="2025-10-16T00:00:00"/>
    <d v="2025-10-20T00:00:00"/>
    <d v="2025-10-26T00:00:00"/>
    <x v="0"/>
    <x v="0"/>
    <d v="2025-11-25T00:00:00"/>
    <n v="8"/>
    <n v="4"/>
    <n v="4"/>
    <n v="6"/>
  </r>
  <r>
    <s v="L1909"/>
    <x v="2"/>
    <x v="0"/>
    <d v="2025-10-26T00:00:00"/>
    <d v="2025-10-31T00:00:00"/>
    <d v="2025-11-05T00:00:00"/>
    <d v="2025-11-11T00:00:00"/>
    <x v="0"/>
    <x v="0"/>
    <d v="2025-11-28T00:00:00"/>
    <n v="2"/>
    <n v="5"/>
    <n v="5"/>
    <n v="6"/>
  </r>
  <r>
    <s v="L1910"/>
    <x v="0"/>
    <x v="0"/>
    <d v="2025-10-26T00:00:00"/>
    <d v="2025-10-30T00:00:00"/>
    <d v="2025-11-04T00:00:00"/>
    <d v="2025-11-07T00:00:00"/>
    <x v="0"/>
    <x v="0"/>
    <d v="2025-12-01T00:00:00"/>
    <n v="4"/>
    <n v="4"/>
    <n v="5"/>
    <n v="3"/>
  </r>
  <r>
    <s v="L1911"/>
    <x v="3"/>
    <x v="2"/>
    <d v="2025-10-08T00:00:00"/>
    <d v="2025-10-10T00:00:00"/>
    <d v="2025-10-14T00:00:00"/>
    <d v="2025-10-21T00:00:00"/>
    <x v="0"/>
    <x v="0"/>
    <d v="2025-11-09T00:00:00"/>
    <n v="1"/>
    <n v="2"/>
    <n v="4"/>
    <n v="7"/>
  </r>
  <r>
    <s v="L1912"/>
    <x v="2"/>
    <x v="2"/>
    <d v="2025-10-19T00:00:00"/>
    <d v="2025-10-21T00:00:00"/>
    <d v="2025-10-26T00:00:00"/>
    <d v="2025-10-30T00:00:00"/>
    <x v="0"/>
    <x v="0"/>
    <d v="2025-11-17T00:00:00"/>
    <n v="8"/>
    <n v="2"/>
    <n v="5"/>
    <n v="4"/>
  </r>
  <r>
    <s v="L1913"/>
    <x v="1"/>
    <x v="0"/>
    <d v="2025-10-11T00:00:00"/>
    <d v="2025-10-16T00:00:00"/>
    <d v="2025-10-17T00:00:00"/>
    <d v="2025-10-22T00:00:00"/>
    <x v="0"/>
    <x v="0"/>
    <d v="2025-11-15T00:00:00"/>
    <n v="9"/>
    <n v="5"/>
    <n v="1"/>
    <n v="5"/>
  </r>
  <r>
    <s v="L1914"/>
    <x v="0"/>
    <x v="2"/>
    <d v="2025-10-01T00:00:00"/>
    <d v="2025-10-04T00:00:00"/>
    <d v="2025-10-07T00:00:00"/>
    <d v="2025-10-12T00:00:00"/>
    <x v="0"/>
    <x v="0"/>
    <d v="2025-10-23T00:00:00"/>
    <n v="4"/>
    <n v="3"/>
    <n v="3"/>
    <n v="5"/>
  </r>
  <r>
    <s v="L1915"/>
    <x v="0"/>
    <x v="2"/>
    <d v="2025-10-06T00:00:00"/>
    <d v="2025-10-07T00:00:00"/>
    <d v="2025-10-12T00:00:00"/>
    <d v="2025-10-18T00:00:00"/>
    <x v="0"/>
    <x v="0"/>
    <d v="2025-10-31T00:00:00"/>
    <n v="1"/>
    <n v="1"/>
    <n v="5"/>
    <n v="6"/>
  </r>
  <r>
    <s v="L1916"/>
    <x v="2"/>
    <x v="2"/>
    <d v="2025-10-09T00:00:00"/>
    <d v="2025-10-10T00:00:00"/>
    <d v="2025-10-15T00:00:00"/>
    <d v="2025-10-20T00:00:00"/>
    <x v="0"/>
    <x v="0"/>
    <d v="2025-11-04T00:00:00"/>
    <n v="6"/>
    <n v="1"/>
    <n v="5"/>
    <n v="5"/>
  </r>
  <r>
    <s v="L1917"/>
    <x v="3"/>
    <x v="2"/>
    <d v="2025-10-02T00:00:00"/>
    <d v="2025-10-05T00:00:00"/>
    <d v="2025-10-06T00:00:00"/>
    <d v="2025-10-08T00:00:00"/>
    <x v="0"/>
    <x v="0"/>
    <d v="2025-10-19T00:00:00"/>
    <n v="8"/>
    <n v="3"/>
    <n v="1"/>
    <n v="2"/>
  </r>
  <r>
    <s v="L1918"/>
    <x v="2"/>
    <x v="2"/>
    <d v="2025-10-05T00:00:00"/>
    <d v="2025-10-09T00:00:00"/>
    <d v="2025-10-10T00:00:00"/>
    <d v="2025-10-12T00:00:00"/>
    <x v="0"/>
    <x v="0"/>
    <d v="2025-10-31T00:00:00"/>
    <n v="1"/>
    <n v="4"/>
    <n v="1"/>
    <n v="2"/>
  </r>
  <r>
    <s v="L1919"/>
    <x v="3"/>
    <x v="0"/>
    <d v="2025-10-24T00:00:00"/>
    <d v="2025-10-29T00:00:00"/>
    <d v="2025-10-31T00:00:00"/>
    <d v="2025-11-04T00:00:00"/>
    <x v="0"/>
    <x v="0"/>
    <d v="2025-11-25T00:00:00"/>
    <n v="6"/>
    <n v="5"/>
    <n v="2"/>
    <n v="4"/>
  </r>
  <r>
    <s v="L1920"/>
    <x v="3"/>
    <x v="0"/>
    <d v="2025-10-14T00:00:00"/>
    <d v="2025-10-18T00:00:00"/>
    <d v="2025-10-21T00:00:00"/>
    <d v="2025-10-26T00:00:00"/>
    <x v="0"/>
    <x v="0"/>
    <d v="2025-11-15T00:00:00"/>
    <n v="0"/>
    <n v="4"/>
    <n v="3"/>
    <n v="5"/>
  </r>
  <r>
    <s v="L1921"/>
    <x v="0"/>
    <x v="1"/>
    <d v="2025-10-17T00:00:00"/>
    <m/>
    <m/>
    <m/>
    <x v="1"/>
    <x v="1"/>
    <m/>
    <m/>
    <m/>
    <n v="0"/>
    <n v="0"/>
  </r>
  <r>
    <s v="L1922"/>
    <x v="2"/>
    <x v="0"/>
    <d v="2025-10-04T00:00:00"/>
    <d v="2025-10-07T00:00:00"/>
    <d v="2025-10-09T00:00:00"/>
    <d v="2025-10-12T00:00:00"/>
    <x v="0"/>
    <x v="0"/>
    <d v="2025-11-04T00:00:00"/>
    <n v="6"/>
    <n v="3"/>
    <n v="2"/>
    <n v="3"/>
  </r>
  <r>
    <s v="L1923"/>
    <x v="2"/>
    <x v="0"/>
    <d v="2025-10-24T00:00:00"/>
    <d v="2025-10-29T00:00:00"/>
    <d v="2025-11-03T00:00:00"/>
    <d v="2025-11-08T00:00:00"/>
    <x v="0"/>
    <x v="0"/>
    <d v="2025-11-21T00:00:00"/>
    <n v="6"/>
    <n v="5"/>
    <n v="5"/>
    <n v="5"/>
  </r>
  <r>
    <s v="L1924"/>
    <x v="3"/>
    <x v="2"/>
    <d v="2025-10-03T00:00:00"/>
    <d v="2025-10-04T00:00:00"/>
    <d v="2025-10-05T00:00:00"/>
    <d v="2025-10-08T00:00:00"/>
    <x v="0"/>
    <x v="0"/>
    <d v="2025-10-21T00:00:00"/>
    <n v="6"/>
    <n v="1"/>
    <n v="1"/>
    <n v="3"/>
  </r>
  <r>
    <s v="L1925"/>
    <x v="2"/>
    <x v="2"/>
    <d v="2025-10-16T00:00:00"/>
    <d v="2025-10-17T00:00:00"/>
    <d v="2025-10-22T00:00:00"/>
    <d v="2025-10-29T00:00:00"/>
    <x v="0"/>
    <x v="0"/>
    <d v="2025-11-09T00:00:00"/>
    <n v="2"/>
    <n v="1"/>
    <n v="5"/>
    <n v="7"/>
  </r>
  <r>
    <s v="L1926"/>
    <x v="1"/>
    <x v="0"/>
    <d v="2025-10-15T00:00:00"/>
    <d v="2025-10-19T00:00:00"/>
    <d v="2025-10-23T00:00:00"/>
    <d v="2025-10-29T00:00:00"/>
    <x v="0"/>
    <x v="0"/>
    <d v="2025-11-08T00:00:00"/>
    <n v="7"/>
    <n v="4"/>
    <n v="4"/>
    <n v="6"/>
  </r>
  <r>
    <s v="L1927"/>
    <x v="1"/>
    <x v="2"/>
    <d v="2025-10-25T00:00:00"/>
    <d v="2025-10-27T00:00:00"/>
    <d v="2025-10-30T00:00:00"/>
    <d v="2025-11-02T00:00:00"/>
    <x v="1"/>
    <x v="4"/>
    <m/>
    <m/>
    <n v="2"/>
    <n v="3"/>
    <n v="3"/>
  </r>
  <r>
    <s v="L1928"/>
    <x v="2"/>
    <x v="0"/>
    <d v="2025-10-12T00:00:00"/>
    <d v="2025-10-15T00:00:00"/>
    <d v="2025-10-19T00:00:00"/>
    <d v="2025-10-26T00:00:00"/>
    <x v="0"/>
    <x v="0"/>
    <d v="2025-11-09T00:00:00"/>
    <n v="8"/>
    <n v="3"/>
    <n v="4"/>
    <n v="7"/>
  </r>
  <r>
    <s v="L1929"/>
    <x v="2"/>
    <x v="0"/>
    <d v="2025-10-17T00:00:00"/>
    <d v="2025-10-20T00:00:00"/>
    <d v="2025-10-21T00:00:00"/>
    <d v="2025-10-27T00:00:00"/>
    <x v="0"/>
    <x v="0"/>
    <d v="2025-11-26T00:00:00"/>
    <n v="1"/>
    <n v="3"/>
    <n v="1"/>
    <n v="6"/>
  </r>
  <r>
    <s v="L1930"/>
    <x v="3"/>
    <x v="0"/>
    <d v="2025-10-19T00:00:00"/>
    <d v="2025-10-23T00:00:00"/>
    <d v="2025-10-24T00:00:00"/>
    <d v="2025-10-26T00:00:00"/>
    <x v="0"/>
    <x v="0"/>
    <d v="2025-11-10T00:00:00"/>
    <n v="7"/>
    <n v="4"/>
    <n v="1"/>
    <n v="2"/>
  </r>
  <r>
    <s v="L1931"/>
    <x v="1"/>
    <x v="2"/>
    <d v="2025-10-04T00:00:00"/>
    <d v="2025-10-07T00:00:00"/>
    <d v="2025-10-08T00:00:00"/>
    <d v="2025-10-13T00:00:00"/>
    <x v="0"/>
    <x v="0"/>
    <d v="2025-11-02T00:00:00"/>
    <n v="9"/>
    <n v="3"/>
    <n v="1"/>
    <n v="5"/>
  </r>
  <r>
    <s v="L1932"/>
    <x v="1"/>
    <x v="0"/>
    <d v="2025-10-15T00:00:00"/>
    <d v="2025-10-16T00:00:00"/>
    <d v="2025-10-19T00:00:00"/>
    <d v="2025-10-26T00:00:00"/>
    <x v="0"/>
    <x v="0"/>
    <d v="2025-11-16T00:00:00"/>
    <n v="2"/>
    <n v="1"/>
    <n v="3"/>
    <n v="7"/>
  </r>
  <r>
    <s v="L1933"/>
    <x v="0"/>
    <x v="0"/>
    <d v="2025-10-17T00:00:00"/>
    <d v="2025-10-21T00:00:00"/>
    <d v="2025-10-23T00:00:00"/>
    <d v="2025-10-27T00:00:00"/>
    <x v="1"/>
    <x v="3"/>
    <m/>
    <m/>
    <n v="4"/>
    <n v="2"/>
    <n v="4"/>
  </r>
  <r>
    <s v="L1934"/>
    <x v="3"/>
    <x v="2"/>
    <d v="2025-10-08T00:00:00"/>
    <d v="2025-10-09T00:00:00"/>
    <d v="2025-10-14T00:00:00"/>
    <d v="2025-10-19T00:00:00"/>
    <x v="0"/>
    <x v="0"/>
    <d v="2025-11-12T00:00:00"/>
    <n v="9"/>
    <n v="1"/>
    <n v="5"/>
    <n v="5"/>
  </r>
  <r>
    <s v="L1935"/>
    <x v="0"/>
    <x v="0"/>
    <d v="2025-10-31T00:00:00"/>
    <d v="2025-11-05T00:00:00"/>
    <d v="2025-11-10T00:00:00"/>
    <d v="2025-11-16T00:00:00"/>
    <x v="0"/>
    <x v="0"/>
    <d v="2025-12-15T00:00:00"/>
    <n v="2"/>
    <n v="5"/>
    <n v="5"/>
    <n v="6"/>
  </r>
  <r>
    <s v="L1936"/>
    <x v="1"/>
    <x v="0"/>
    <d v="2025-10-20T00:00:00"/>
    <d v="2025-10-25T00:00:00"/>
    <d v="2025-10-30T00:00:00"/>
    <d v="2025-11-04T00:00:00"/>
    <x v="0"/>
    <x v="0"/>
    <d v="2025-11-22T00:00:00"/>
    <n v="4"/>
    <n v="5"/>
    <n v="5"/>
    <n v="5"/>
  </r>
  <r>
    <s v="L1937"/>
    <x v="3"/>
    <x v="1"/>
    <d v="2025-10-02T00:00:00"/>
    <m/>
    <m/>
    <m/>
    <x v="1"/>
    <x v="5"/>
    <m/>
    <m/>
    <m/>
    <n v="0"/>
    <n v="0"/>
  </r>
  <r>
    <s v="L1938"/>
    <x v="2"/>
    <x v="2"/>
    <d v="2025-10-24T00:00:00"/>
    <d v="2025-10-26T00:00:00"/>
    <d v="2025-10-31T00:00:00"/>
    <d v="2025-11-04T00:00:00"/>
    <x v="0"/>
    <x v="0"/>
    <d v="2025-11-16T00:00:00"/>
    <n v="7"/>
    <n v="2"/>
    <n v="5"/>
    <n v="4"/>
  </r>
  <r>
    <s v="L1939"/>
    <x v="3"/>
    <x v="1"/>
    <d v="2025-10-26T00:00:00"/>
    <m/>
    <m/>
    <m/>
    <x v="1"/>
    <x v="5"/>
    <m/>
    <m/>
    <m/>
    <n v="0"/>
    <n v="0"/>
  </r>
  <r>
    <s v="L1940"/>
    <x v="2"/>
    <x v="0"/>
    <d v="2025-10-30T00:00:00"/>
    <d v="2025-11-02T00:00:00"/>
    <d v="2025-11-07T00:00:00"/>
    <d v="2025-11-13T00:00:00"/>
    <x v="0"/>
    <x v="0"/>
    <d v="2025-12-04T00:00:00"/>
    <n v="8"/>
    <n v="3"/>
    <n v="5"/>
    <n v="6"/>
  </r>
  <r>
    <s v="L1941"/>
    <x v="2"/>
    <x v="0"/>
    <d v="2025-10-28T00:00:00"/>
    <d v="2025-11-02T00:00:00"/>
    <d v="2025-11-04T00:00:00"/>
    <d v="2025-11-10T00:00:00"/>
    <x v="0"/>
    <x v="0"/>
    <d v="2025-11-30T00:00:00"/>
    <n v="5"/>
    <n v="5"/>
    <n v="2"/>
    <n v="6"/>
  </r>
  <r>
    <s v="L1942"/>
    <x v="3"/>
    <x v="2"/>
    <d v="2025-10-22T00:00:00"/>
    <d v="2025-10-25T00:00:00"/>
    <d v="2025-10-29T00:00:00"/>
    <d v="2025-11-02T00:00:00"/>
    <x v="0"/>
    <x v="0"/>
    <d v="2025-11-17T00:00:00"/>
    <n v="4"/>
    <n v="3"/>
    <n v="4"/>
    <n v="4"/>
  </r>
  <r>
    <s v="L1943"/>
    <x v="2"/>
    <x v="0"/>
    <d v="2025-10-17T00:00:00"/>
    <d v="2025-10-18T00:00:00"/>
    <d v="2025-10-21T00:00:00"/>
    <d v="2025-10-26T00:00:00"/>
    <x v="0"/>
    <x v="0"/>
    <d v="2025-11-08T00:00:00"/>
    <n v="2"/>
    <n v="1"/>
    <n v="3"/>
    <n v="5"/>
  </r>
  <r>
    <s v="L1944"/>
    <x v="0"/>
    <x v="2"/>
    <d v="2025-10-10T00:00:00"/>
    <d v="2025-10-14T00:00:00"/>
    <d v="2025-10-18T00:00:00"/>
    <d v="2025-10-22T00:00:00"/>
    <x v="0"/>
    <x v="0"/>
    <d v="2025-11-13T00:00:00"/>
    <n v="3"/>
    <n v="4"/>
    <n v="4"/>
    <n v="4"/>
  </r>
  <r>
    <s v="L1945"/>
    <x v="1"/>
    <x v="0"/>
    <d v="2025-10-15T00:00:00"/>
    <d v="2025-10-20T00:00:00"/>
    <d v="2025-10-24T00:00:00"/>
    <d v="2025-10-27T00:00:00"/>
    <x v="0"/>
    <x v="0"/>
    <d v="2025-11-18T00:00:00"/>
    <n v="6"/>
    <n v="5"/>
    <n v="4"/>
    <n v="3"/>
  </r>
  <r>
    <s v="L1946"/>
    <x v="2"/>
    <x v="2"/>
    <d v="2025-10-21T00:00:00"/>
    <d v="2025-10-25T00:00:00"/>
    <d v="2025-10-30T00:00:00"/>
    <d v="2025-11-01T00:00:00"/>
    <x v="0"/>
    <x v="0"/>
    <d v="2025-11-25T00:00:00"/>
    <n v="6"/>
    <n v="4"/>
    <n v="5"/>
    <n v="2"/>
  </r>
  <r>
    <s v="L1947"/>
    <x v="0"/>
    <x v="1"/>
    <d v="2025-10-31T00:00:00"/>
    <m/>
    <m/>
    <m/>
    <x v="1"/>
    <x v="1"/>
    <m/>
    <m/>
    <m/>
    <n v="0"/>
    <n v="0"/>
  </r>
  <r>
    <s v="L1948"/>
    <x v="2"/>
    <x v="0"/>
    <d v="2025-10-01T00:00:00"/>
    <d v="2025-10-06T00:00:00"/>
    <d v="2025-10-11T00:00:00"/>
    <d v="2025-10-15T00:00:00"/>
    <x v="0"/>
    <x v="0"/>
    <d v="2025-11-02T00:00:00"/>
    <n v="8"/>
    <n v="5"/>
    <n v="5"/>
    <n v="4"/>
  </r>
  <r>
    <s v="L1949"/>
    <x v="1"/>
    <x v="0"/>
    <d v="2025-10-02T00:00:00"/>
    <d v="2025-10-05T00:00:00"/>
    <d v="2025-10-07T00:00:00"/>
    <d v="2025-10-13T00:00:00"/>
    <x v="0"/>
    <x v="0"/>
    <d v="2025-11-04T00:00:00"/>
    <n v="2"/>
    <n v="3"/>
    <n v="2"/>
    <n v="6"/>
  </r>
  <r>
    <s v="L1950"/>
    <x v="0"/>
    <x v="2"/>
    <d v="2025-10-16T00:00:00"/>
    <d v="2025-10-21T00:00:00"/>
    <d v="2025-10-24T00:00:00"/>
    <d v="2025-10-27T00:00:00"/>
    <x v="0"/>
    <x v="0"/>
    <d v="2025-11-21T00:00:00"/>
    <n v="3"/>
    <n v="5"/>
    <n v="3"/>
    <n v="3"/>
  </r>
  <r>
    <s v="L1951"/>
    <x v="1"/>
    <x v="2"/>
    <d v="2025-10-28T00:00:00"/>
    <d v="2025-11-02T00:00:00"/>
    <d v="2025-11-03T00:00:00"/>
    <d v="2025-11-05T00:00:00"/>
    <x v="0"/>
    <x v="0"/>
    <d v="2025-11-28T00:00:00"/>
    <n v="1"/>
    <n v="5"/>
    <n v="1"/>
    <n v="2"/>
  </r>
  <r>
    <s v="L1952"/>
    <x v="1"/>
    <x v="0"/>
    <d v="2025-10-13T00:00:00"/>
    <d v="2025-10-14T00:00:00"/>
    <d v="2025-10-18T00:00:00"/>
    <d v="2025-10-22T00:00:00"/>
    <x v="0"/>
    <x v="0"/>
    <d v="2025-11-21T00:00:00"/>
    <n v="1"/>
    <n v="1"/>
    <n v="4"/>
    <n v="4"/>
  </r>
  <r>
    <s v="L1953"/>
    <x v="0"/>
    <x v="0"/>
    <d v="2025-10-14T00:00:00"/>
    <d v="2025-10-16T00:00:00"/>
    <d v="2025-10-17T00:00:00"/>
    <d v="2025-10-19T00:00:00"/>
    <x v="0"/>
    <x v="0"/>
    <d v="2025-11-03T00:00:00"/>
    <n v="6"/>
    <n v="2"/>
    <n v="1"/>
    <n v="2"/>
  </r>
  <r>
    <s v="L1954"/>
    <x v="0"/>
    <x v="2"/>
    <d v="2025-10-22T00:00:00"/>
    <d v="2025-10-23T00:00:00"/>
    <d v="2025-10-26T00:00:00"/>
    <d v="2025-10-31T00:00:00"/>
    <x v="0"/>
    <x v="0"/>
    <d v="2025-11-13T00:00:00"/>
    <n v="1"/>
    <n v="1"/>
    <n v="3"/>
    <n v="5"/>
  </r>
  <r>
    <s v="L1955"/>
    <x v="0"/>
    <x v="0"/>
    <d v="2025-10-04T00:00:00"/>
    <d v="2025-10-08T00:00:00"/>
    <d v="2025-10-12T00:00:00"/>
    <d v="2025-10-18T00:00:00"/>
    <x v="0"/>
    <x v="0"/>
    <d v="2025-11-01T00:00:00"/>
    <n v="2"/>
    <n v="4"/>
    <n v="4"/>
    <n v="6"/>
  </r>
  <r>
    <s v="L1956"/>
    <x v="3"/>
    <x v="1"/>
    <d v="2025-10-16T00:00:00"/>
    <m/>
    <m/>
    <m/>
    <x v="1"/>
    <x v="5"/>
    <m/>
    <m/>
    <m/>
    <n v="0"/>
    <n v="0"/>
  </r>
  <r>
    <s v="L1957"/>
    <x v="0"/>
    <x v="0"/>
    <d v="2025-10-23T00:00:00"/>
    <d v="2025-10-26T00:00:00"/>
    <d v="2025-10-27T00:00:00"/>
    <d v="2025-10-31T00:00:00"/>
    <x v="0"/>
    <x v="0"/>
    <d v="2025-11-11T00:00:00"/>
    <n v="10"/>
    <n v="3"/>
    <n v="1"/>
    <n v="4"/>
  </r>
  <r>
    <s v="L1958"/>
    <x v="0"/>
    <x v="0"/>
    <d v="2025-10-30T00:00:00"/>
    <d v="2025-11-02T00:00:00"/>
    <d v="2025-11-03T00:00:00"/>
    <d v="2025-11-09T00:00:00"/>
    <x v="0"/>
    <x v="0"/>
    <d v="2025-11-24T00:00:00"/>
    <n v="1"/>
    <n v="3"/>
    <n v="1"/>
    <n v="6"/>
  </r>
  <r>
    <s v="L1959"/>
    <x v="0"/>
    <x v="1"/>
    <d v="2025-10-15T00:00:00"/>
    <m/>
    <m/>
    <m/>
    <x v="1"/>
    <x v="3"/>
    <m/>
    <m/>
    <m/>
    <n v="0"/>
    <n v="0"/>
  </r>
  <r>
    <s v="L1960"/>
    <x v="0"/>
    <x v="2"/>
    <d v="2025-10-03T00:00:00"/>
    <d v="2025-10-08T00:00:00"/>
    <d v="2025-10-10T00:00:00"/>
    <d v="2025-10-13T00:00:00"/>
    <x v="0"/>
    <x v="0"/>
    <d v="2025-10-26T00:00:00"/>
    <n v="8"/>
    <n v="5"/>
    <n v="2"/>
    <n v="3"/>
  </r>
  <r>
    <s v="L1961"/>
    <x v="2"/>
    <x v="0"/>
    <d v="2025-10-29T00:00:00"/>
    <d v="2025-11-01T00:00:00"/>
    <d v="2025-11-04T00:00:00"/>
    <d v="2025-11-07T00:00:00"/>
    <x v="0"/>
    <x v="0"/>
    <d v="2025-11-30T00:00:00"/>
    <n v="6"/>
    <n v="3"/>
    <n v="3"/>
    <n v="3"/>
  </r>
  <r>
    <s v="L1962"/>
    <x v="3"/>
    <x v="1"/>
    <d v="2025-10-03T00:00:00"/>
    <m/>
    <m/>
    <m/>
    <x v="1"/>
    <x v="1"/>
    <m/>
    <m/>
    <m/>
    <n v="0"/>
    <n v="0"/>
  </r>
  <r>
    <s v="L1963"/>
    <x v="1"/>
    <x v="2"/>
    <d v="2025-10-11T00:00:00"/>
    <d v="2025-10-13T00:00:00"/>
    <d v="2025-10-16T00:00:00"/>
    <d v="2025-10-18T00:00:00"/>
    <x v="0"/>
    <x v="0"/>
    <d v="2025-11-15T00:00:00"/>
    <n v="3"/>
    <n v="2"/>
    <n v="3"/>
    <n v="2"/>
  </r>
  <r>
    <s v="L1964"/>
    <x v="0"/>
    <x v="0"/>
    <d v="2025-10-20T00:00:00"/>
    <d v="2025-10-22T00:00:00"/>
    <d v="2025-10-25T00:00:00"/>
    <d v="2025-10-28T00:00:00"/>
    <x v="0"/>
    <x v="0"/>
    <d v="2025-11-22T00:00:00"/>
    <n v="9"/>
    <n v="2"/>
    <n v="3"/>
    <n v="3"/>
  </r>
  <r>
    <s v="L1965"/>
    <x v="2"/>
    <x v="0"/>
    <d v="2025-10-05T00:00:00"/>
    <d v="2025-10-10T00:00:00"/>
    <d v="2025-10-14T00:00:00"/>
    <d v="2025-10-21T00:00:00"/>
    <x v="0"/>
    <x v="0"/>
    <d v="2025-11-18T00:00:00"/>
    <n v="7"/>
    <n v="5"/>
    <n v="4"/>
    <n v="7"/>
  </r>
  <r>
    <s v="L1966"/>
    <x v="2"/>
    <x v="0"/>
    <d v="2025-10-03T00:00:00"/>
    <d v="2025-10-08T00:00:00"/>
    <d v="2025-10-10T00:00:00"/>
    <d v="2025-10-13T00:00:00"/>
    <x v="0"/>
    <x v="0"/>
    <d v="2025-11-06T00:00:00"/>
    <n v="4"/>
    <n v="5"/>
    <n v="2"/>
    <n v="3"/>
  </r>
  <r>
    <s v="L1967"/>
    <x v="2"/>
    <x v="0"/>
    <d v="2025-10-05T00:00:00"/>
    <d v="2025-10-09T00:00:00"/>
    <d v="2025-10-14T00:00:00"/>
    <d v="2025-10-18T00:00:00"/>
    <x v="0"/>
    <x v="0"/>
    <d v="2025-11-02T00:00:00"/>
    <n v="7"/>
    <n v="4"/>
    <n v="5"/>
    <n v="4"/>
  </r>
  <r>
    <s v="L1968"/>
    <x v="1"/>
    <x v="1"/>
    <d v="2025-10-09T00:00:00"/>
    <m/>
    <m/>
    <m/>
    <x v="1"/>
    <x v="4"/>
    <m/>
    <m/>
    <m/>
    <n v="0"/>
    <n v="0"/>
  </r>
  <r>
    <s v="L1969"/>
    <x v="0"/>
    <x v="0"/>
    <d v="2025-10-20T00:00:00"/>
    <d v="2025-10-25T00:00:00"/>
    <d v="2025-10-29T00:00:00"/>
    <d v="2025-11-04T00:00:00"/>
    <x v="0"/>
    <x v="0"/>
    <d v="2025-12-03T00:00:00"/>
    <n v="6"/>
    <n v="5"/>
    <n v="4"/>
    <n v="6"/>
  </r>
  <r>
    <s v="L1970"/>
    <x v="3"/>
    <x v="2"/>
    <d v="2025-10-21T00:00:00"/>
    <d v="2025-10-22T00:00:00"/>
    <d v="2025-10-25T00:00:00"/>
    <d v="2025-11-01T00:00:00"/>
    <x v="0"/>
    <x v="0"/>
    <d v="2025-11-23T00:00:00"/>
    <n v="10"/>
    <n v="1"/>
    <n v="3"/>
    <n v="7"/>
  </r>
  <r>
    <s v="L1971"/>
    <x v="3"/>
    <x v="1"/>
    <d v="2025-10-19T00:00:00"/>
    <m/>
    <m/>
    <m/>
    <x v="1"/>
    <x v="5"/>
    <m/>
    <m/>
    <m/>
    <n v="0"/>
    <n v="0"/>
  </r>
  <r>
    <s v="L1972"/>
    <x v="2"/>
    <x v="2"/>
    <d v="2025-10-18T00:00:00"/>
    <d v="2025-10-19T00:00:00"/>
    <d v="2025-10-23T00:00:00"/>
    <d v="2025-10-25T00:00:00"/>
    <x v="0"/>
    <x v="0"/>
    <d v="2025-11-15T00:00:00"/>
    <n v="10"/>
    <n v="1"/>
    <n v="4"/>
    <n v="2"/>
  </r>
  <r>
    <s v="L1973"/>
    <x v="1"/>
    <x v="0"/>
    <d v="2025-10-23T00:00:00"/>
    <d v="2025-10-24T00:00:00"/>
    <d v="2025-10-25T00:00:00"/>
    <d v="2025-10-28T00:00:00"/>
    <x v="0"/>
    <x v="0"/>
    <d v="2025-11-26T00:00:00"/>
    <n v="9"/>
    <n v="1"/>
    <n v="1"/>
    <n v="3"/>
  </r>
  <r>
    <s v="L1974"/>
    <x v="1"/>
    <x v="0"/>
    <d v="2025-10-11T00:00:00"/>
    <d v="2025-10-13T00:00:00"/>
    <d v="2025-10-17T00:00:00"/>
    <d v="2025-10-23T00:00:00"/>
    <x v="0"/>
    <x v="0"/>
    <d v="2025-11-02T00:00:00"/>
    <n v="7"/>
    <n v="2"/>
    <n v="4"/>
    <n v="6"/>
  </r>
  <r>
    <s v="L1975"/>
    <x v="1"/>
    <x v="0"/>
    <d v="2025-10-13T00:00:00"/>
    <d v="2025-10-16T00:00:00"/>
    <d v="2025-10-20T00:00:00"/>
    <d v="2025-10-25T00:00:00"/>
    <x v="1"/>
    <x v="2"/>
    <m/>
    <m/>
    <n v="3"/>
    <n v="4"/>
    <n v="5"/>
  </r>
  <r>
    <s v="L1976"/>
    <x v="3"/>
    <x v="0"/>
    <d v="2025-10-20T00:00:00"/>
    <d v="2025-10-24T00:00:00"/>
    <d v="2025-10-27T00:00:00"/>
    <d v="2025-10-31T00:00:00"/>
    <x v="1"/>
    <x v="5"/>
    <m/>
    <m/>
    <n v="4"/>
    <n v="3"/>
    <n v="4"/>
  </r>
  <r>
    <s v="L1977"/>
    <x v="2"/>
    <x v="1"/>
    <d v="2025-10-17T00:00:00"/>
    <m/>
    <m/>
    <m/>
    <x v="1"/>
    <x v="4"/>
    <m/>
    <m/>
    <m/>
    <n v="0"/>
    <n v="0"/>
  </r>
  <r>
    <s v="L1978"/>
    <x v="0"/>
    <x v="0"/>
    <d v="2025-10-10T00:00:00"/>
    <d v="2025-10-15T00:00:00"/>
    <d v="2025-10-16T00:00:00"/>
    <d v="2025-10-19T00:00:00"/>
    <x v="0"/>
    <x v="0"/>
    <d v="2025-11-02T00:00:00"/>
    <n v="8"/>
    <n v="5"/>
    <n v="1"/>
    <n v="3"/>
  </r>
  <r>
    <s v="L1979"/>
    <x v="3"/>
    <x v="0"/>
    <d v="2025-10-15T00:00:00"/>
    <d v="2025-10-19T00:00:00"/>
    <d v="2025-10-22T00:00:00"/>
    <d v="2025-10-25T00:00:00"/>
    <x v="0"/>
    <x v="0"/>
    <d v="2025-11-19T00:00:00"/>
    <n v="5"/>
    <n v="4"/>
    <n v="3"/>
    <n v="3"/>
  </r>
  <r>
    <s v="L1980"/>
    <x v="2"/>
    <x v="2"/>
    <d v="2025-10-17T00:00:00"/>
    <d v="2025-10-19T00:00:00"/>
    <d v="2025-10-20T00:00:00"/>
    <d v="2025-10-23T00:00:00"/>
    <x v="0"/>
    <x v="0"/>
    <d v="2025-11-17T00:00:00"/>
    <n v="0"/>
    <n v="2"/>
    <n v="1"/>
    <n v="3"/>
  </r>
  <r>
    <s v="L1981"/>
    <x v="2"/>
    <x v="1"/>
    <d v="2025-10-20T00:00:00"/>
    <m/>
    <m/>
    <m/>
    <x v="1"/>
    <x v="1"/>
    <m/>
    <m/>
    <m/>
    <n v="0"/>
    <n v="0"/>
  </r>
  <r>
    <s v="L1982"/>
    <x v="0"/>
    <x v="1"/>
    <d v="2025-10-14T00:00:00"/>
    <m/>
    <m/>
    <m/>
    <x v="1"/>
    <x v="4"/>
    <m/>
    <m/>
    <m/>
    <n v="0"/>
    <n v="0"/>
  </r>
  <r>
    <s v="L1983"/>
    <x v="0"/>
    <x v="0"/>
    <d v="2025-10-04T00:00:00"/>
    <d v="2025-10-09T00:00:00"/>
    <d v="2025-10-10T00:00:00"/>
    <d v="2025-10-16T00:00:00"/>
    <x v="0"/>
    <x v="0"/>
    <d v="2025-10-29T00:00:00"/>
    <n v="2"/>
    <n v="5"/>
    <n v="1"/>
    <n v="6"/>
  </r>
  <r>
    <s v="L1984"/>
    <x v="0"/>
    <x v="2"/>
    <d v="2025-10-26T00:00:00"/>
    <d v="2025-10-31T00:00:00"/>
    <d v="2025-11-01T00:00:00"/>
    <d v="2025-11-05T00:00:00"/>
    <x v="0"/>
    <x v="0"/>
    <d v="2025-11-28T00:00:00"/>
    <n v="2"/>
    <n v="5"/>
    <n v="1"/>
    <n v="4"/>
  </r>
  <r>
    <s v="L1985"/>
    <x v="1"/>
    <x v="2"/>
    <d v="2025-10-23T00:00:00"/>
    <d v="2025-10-25T00:00:00"/>
    <d v="2025-10-28T00:00:00"/>
    <d v="2025-11-04T00:00:00"/>
    <x v="0"/>
    <x v="0"/>
    <d v="2025-11-28T00:00:00"/>
    <n v="7"/>
    <n v="2"/>
    <n v="3"/>
    <n v="7"/>
  </r>
  <r>
    <s v="L1986"/>
    <x v="0"/>
    <x v="2"/>
    <d v="2025-10-04T00:00:00"/>
    <d v="2025-10-07T00:00:00"/>
    <d v="2025-10-08T00:00:00"/>
    <d v="2025-10-15T00:00:00"/>
    <x v="0"/>
    <x v="0"/>
    <d v="2025-10-26T00:00:00"/>
    <n v="8"/>
    <n v="3"/>
    <n v="1"/>
    <n v="7"/>
  </r>
  <r>
    <s v="L1987"/>
    <x v="2"/>
    <x v="2"/>
    <d v="2025-10-28T00:00:00"/>
    <d v="2025-11-02T00:00:00"/>
    <d v="2025-11-04T00:00:00"/>
    <d v="2025-11-08T00:00:00"/>
    <x v="0"/>
    <x v="0"/>
    <d v="2025-11-20T00:00:00"/>
    <n v="0"/>
    <n v="5"/>
    <n v="2"/>
    <n v="4"/>
  </r>
  <r>
    <s v="L1988"/>
    <x v="0"/>
    <x v="0"/>
    <d v="2025-10-21T00:00:00"/>
    <d v="2025-10-24T00:00:00"/>
    <d v="2025-10-26T00:00:00"/>
    <d v="2025-11-01T00:00:00"/>
    <x v="0"/>
    <x v="0"/>
    <d v="2025-11-19T00:00:00"/>
    <n v="4"/>
    <n v="3"/>
    <n v="2"/>
    <n v="6"/>
  </r>
  <r>
    <s v="L1989"/>
    <x v="2"/>
    <x v="1"/>
    <d v="2025-10-21T00:00:00"/>
    <m/>
    <m/>
    <m/>
    <x v="1"/>
    <x v="2"/>
    <m/>
    <m/>
    <m/>
    <n v="0"/>
    <n v="0"/>
  </r>
  <r>
    <s v="L1990"/>
    <x v="3"/>
    <x v="0"/>
    <d v="2025-10-29T00:00:00"/>
    <d v="2025-10-31T00:00:00"/>
    <d v="2025-11-05T00:00:00"/>
    <d v="2025-11-07T00:00:00"/>
    <x v="0"/>
    <x v="0"/>
    <d v="2025-12-07T00:00:00"/>
    <n v="6"/>
    <n v="2"/>
    <n v="5"/>
    <n v="2"/>
  </r>
  <r>
    <s v="L1991"/>
    <x v="1"/>
    <x v="2"/>
    <d v="2025-10-25T00:00:00"/>
    <d v="2025-10-29T00:00:00"/>
    <d v="2025-10-31T00:00:00"/>
    <d v="2025-11-07T00:00:00"/>
    <x v="0"/>
    <x v="0"/>
    <d v="2025-11-27T00:00:00"/>
    <n v="3"/>
    <n v="4"/>
    <n v="2"/>
    <n v="7"/>
  </r>
  <r>
    <s v="L1992"/>
    <x v="3"/>
    <x v="2"/>
    <d v="2025-10-18T00:00:00"/>
    <d v="2025-10-23T00:00:00"/>
    <d v="2025-10-28T00:00:00"/>
    <d v="2025-11-04T00:00:00"/>
    <x v="0"/>
    <x v="0"/>
    <d v="2025-11-14T00:00:00"/>
    <n v="5"/>
    <n v="5"/>
    <n v="5"/>
    <n v="7"/>
  </r>
  <r>
    <s v="L1993"/>
    <x v="3"/>
    <x v="2"/>
    <d v="2025-10-24T00:00:00"/>
    <d v="2025-10-27T00:00:00"/>
    <d v="2025-10-29T00:00:00"/>
    <d v="2025-11-02T00:00:00"/>
    <x v="0"/>
    <x v="0"/>
    <d v="2025-11-28T00:00:00"/>
    <n v="7"/>
    <n v="3"/>
    <n v="2"/>
    <n v="4"/>
  </r>
  <r>
    <s v="L1994"/>
    <x v="2"/>
    <x v="2"/>
    <d v="2025-10-28T00:00:00"/>
    <d v="2025-11-02T00:00:00"/>
    <d v="2025-11-05T00:00:00"/>
    <d v="2025-11-11T00:00:00"/>
    <x v="0"/>
    <x v="0"/>
    <d v="2025-12-09T00:00:00"/>
    <n v="1"/>
    <n v="5"/>
    <n v="3"/>
    <n v="6"/>
  </r>
  <r>
    <s v="L1995"/>
    <x v="3"/>
    <x v="2"/>
    <d v="2025-10-07T00:00:00"/>
    <d v="2025-10-10T00:00:00"/>
    <d v="2025-10-15T00:00:00"/>
    <d v="2025-10-21T00:00:00"/>
    <x v="0"/>
    <x v="0"/>
    <d v="2025-11-18T00:00:00"/>
    <n v="5"/>
    <n v="3"/>
    <n v="5"/>
    <n v="6"/>
  </r>
  <r>
    <s v="L1996"/>
    <x v="2"/>
    <x v="2"/>
    <d v="2025-10-14T00:00:00"/>
    <d v="2025-10-19T00:00:00"/>
    <d v="2025-10-23T00:00:00"/>
    <d v="2025-10-26T00:00:00"/>
    <x v="0"/>
    <x v="0"/>
    <d v="2025-11-12T00:00:00"/>
    <n v="7"/>
    <n v="5"/>
    <n v="4"/>
    <n v="3"/>
  </r>
  <r>
    <s v="L1997"/>
    <x v="0"/>
    <x v="0"/>
    <d v="2025-10-15T00:00:00"/>
    <d v="2025-10-20T00:00:00"/>
    <d v="2025-10-24T00:00:00"/>
    <d v="2025-10-30T00:00:00"/>
    <x v="0"/>
    <x v="0"/>
    <d v="2025-11-19T00:00:00"/>
    <n v="3"/>
    <n v="5"/>
    <n v="4"/>
    <n v="6"/>
  </r>
  <r>
    <s v="L1998"/>
    <x v="0"/>
    <x v="1"/>
    <d v="2025-10-29T00:00:00"/>
    <m/>
    <m/>
    <m/>
    <x v="1"/>
    <x v="3"/>
    <m/>
    <m/>
    <m/>
    <n v="0"/>
    <n v="0"/>
  </r>
  <r>
    <s v="L1999"/>
    <x v="2"/>
    <x v="0"/>
    <d v="2025-10-08T00:00:00"/>
    <d v="2025-10-13T00:00:00"/>
    <d v="2025-10-15T00:00:00"/>
    <d v="2025-10-18T00:00:00"/>
    <x v="0"/>
    <x v="0"/>
    <d v="2025-11-13T00:00:00"/>
    <n v="4"/>
    <n v="5"/>
    <n v="2"/>
    <n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s v="L1000"/>
    <x v="0"/>
    <s v="Warm"/>
    <d v="2025-10-21T00:00:00"/>
    <d v="2025-10-25T00:00:00"/>
    <d v="2025-10-29T00:00:00"/>
    <d v="2025-11-03T00:00:00"/>
    <s v="No"/>
    <m/>
    <d v="2025-11-28T00:00:00"/>
    <n v="2"/>
    <n v="4"/>
    <n v="4"/>
    <n v="5"/>
    <s v="Detractor"/>
  </r>
  <r>
    <s v="L1001"/>
    <x v="1"/>
    <s v="Warm"/>
    <d v="2025-10-11T00:00:00"/>
    <d v="2025-10-14T00:00:00"/>
    <d v="2025-10-19T00:00:00"/>
    <d v="2025-10-26T00:00:00"/>
    <s v="No"/>
    <m/>
    <d v="2025-11-22T00:00:00"/>
    <n v="8"/>
    <n v="3"/>
    <n v="5"/>
    <n v="7"/>
    <s v="Passive"/>
  </r>
  <r>
    <s v="L1002"/>
    <x v="2"/>
    <s v="Cold"/>
    <d v="2025-10-01T00:00:00"/>
    <m/>
    <m/>
    <m/>
    <s v="Yes"/>
    <s v="Other"/>
    <m/>
    <m/>
    <m/>
    <n v="0"/>
    <n v="0"/>
    <s v="Detractor"/>
  </r>
  <r>
    <s v="L1003"/>
    <x v="0"/>
    <s v="Cold"/>
    <d v="2025-10-28T00:00:00"/>
    <m/>
    <m/>
    <m/>
    <s v="Yes"/>
    <s v="Model Unavailable"/>
    <m/>
    <m/>
    <m/>
    <n v="0"/>
    <n v="0"/>
    <s v="Detractor"/>
  </r>
  <r>
    <s v="L1004"/>
    <x v="1"/>
    <s v="Warm"/>
    <d v="2025-10-14T00:00:00"/>
    <d v="2025-10-18T00:00:00"/>
    <d v="2025-10-21T00:00:00"/>
    <d v="2025-10-24T00:00:00"/>
    <s v="No"/>
    <m/>
    <d v="2025-11-12T00:00:00"/>
    <n v="8"/>
    <n v="4"/>
    <n v="3"/>
    <n v="3"/>
    <s v="Passive"/>
  </r>
  <r>
    <s v="L1005"/>
    <x v="1"/>
    <s v="Warm"/>
    <d v="2025-10-27T00:00:00"/>
    <d v="2025-10-31T00:00:00"/>
    <d v="2025-11-04T00:00:00"/>
    <d v="2025-11-07T00:00:00"/>
    <s v="No"/>
    <m/>
    <d v="2025-11-22T00:00:00"/>
    <n v="9"/>
    <n v="4"/>
    <n v="4"/>
    <n v="3"/>
    <s v="Promoter"/>
  </r>
  <r>
    <s v="L1006"/>
    <x v="2"/>
    <s v="Hot"/>
    <d v="2025-10-16T00:00:00"/>
    <d v="2025-10-20T00:00:00"/>
    <d v="2025-10-21T00:00:00"/>
    <d v="2025-10-28T00:00:00"/>
    <s v="No"/>
    <m/>
    <d v="2025-11-22T00:00:00"/>
    <n v="10"/>
    <n v="4"/>
    <n v="1"/>
    <n v="7"/>
    <s v="Promoter"/>
  </r>
  <r>
    <s v="L1007"/>
    <x v="3"/>
    <s v="Warm"/>
    <d v="2025-10-04T00:00:00"/>
    <d v="2025-10-05T00:00:00"/>
    <d v="2025-10-08T00:00:00"/>
    <d v="2025-10-15T00:00:00"/>
    <s v="Yes"/>
    <s v="Changed Mind"/>
    <m/>
    <m/>
    <n v="1"/>
    <n v="3"/>
    <n v="7"/>
    <s v="Detractor"/>
  </r>
  <r>
    <s v="L1008"/>
    <x v="0"/>
    <s v="Hot"/>
    <d v="2025-10-14T00:00:00"/>
    <d v="2025-10-17T00:00:00"/>
    <d v="2025-10-20T00:00:00"/>
    <d v="2025-10-25T00:00:00"/>
    <s v="No"/>
    <m/>
    <d v="2025-11-05T00:00:00"/>
    <n v="8"/>
    <n v="3"/>
    <n v="3"/>
    <n v="5"/>
    <s v="Passive"/>
  </r>
  <r>
    <s v="L1009"/>
    <x v="2"/>
    <s v="Warm"/>
    <d v="2025-10-31T00:00:00"/>
    <d v="2025-11-04T00:00:00"/>
    <d v="2025-11-05T00:00:00"/>
    <d v="2025-11-10T00:00:00"/>
    <s v="No"/>
    <m/>
    <d v="2025-11-22T00:00:00"/>
    <n v="6"/>
    <n v="4"/>
    <n v="1"/>
    <n v="5"/>
    <s v="Detractor"/>
  </r>
  <r>
    <s v="L1010"/>
    <x v="0"/>
    <s v="Cold"/>
    <d v="2025-10-12T00:00:00"/>
    <m/>
    <m/>
    <m/>
    <s v="Yes"/>
    <s v="Other"/>
    <m/>
    <m/>
    <m/>
    <n v="0"/>
    <n v="0"/>
    <s v="Detractor"/>
  </r>
  <r>
    <s v="L1011"/>
    <x v="1"/>
    <s v="Warm"/>
    <d v="2025-10-21T00:00:00"/>
    <d v="2025-10-24T00:00:00"/>
    <d v="2025-10-28T00:00:00"/>
    <d v="2025-10-30T00:00:00"/>
    <s v="No"/>
    <m/>
    <d v="2025-11-10T00:00:00"/>
    <n v="0"/>
    <n v="3"/>
    <n v="4"/>
    <n v="2"/>
    <s v="Detractor"/>
  </r>
  <r>
    <s v="L1012"/>
    <x v="1"/>
    <s v="Warm"/>
    <d v="2025-10-29T00:00:00"/>
    <d v="2025-11-01T00:00:00"/>
    <d v="2025-11-06T00:00:00"/>
    <d v="2025-11-13T00:00:00"/>
    <s v="No"/>
    <m/>
    <d v="2025-11-30T00:00:00"/>
    <n v="10"/>
    <n v="3"/>
    <n v="5"/>
    <n v="7"/>
    <s v="Promoter"/>
  </r>
  <r>
    <s v="L1013"/>
    <x v="3"/>
    <s v="Warm"/>
    <d v="2025-10-27T00:00:00"/>
    <d v="2025-10-30T00:00:00"/>
    <d v="2025-11-02T00:00:00"/>
    <d v="2025-11-08T00:00:00"/>
    <s v="No"/>
    <m/>
    <d v="2025-12-07T00:00:00"/>
    <n v="2"/>
    <n v="3"/>
    <n v="3"/>
    <n v="6"/>
    <s v="Detractor"/>
  </r>
  <r>
    <s v="L1014"/>
    <x v="1"/>
    <s v="Hot"/>
    <d v="2025-10-15T00:00:00"/>
    <d v="2025-10-17T00:00:00"/>
    <d v="2025-10-18T00:00:00"/>
    <d v="2025-10-21T00:00:00"/>
    <s v="Yes"/>
    <s v="Changed Mind"/>
    <m/>
    <m/>
    <n v="2"/>
    <n v="1"/>
    <n v="3"/>
    <s v="Detractor"/>
  </r>
  <r>
    <s v="L1015"/>
    <x v="1"/>
    <s v="Warm"/>
    <d v="2025-10-23T00:00:00"/>
    <d v="2025-10-27T00:00:00"/>
    <d v="2025-11-01T00:00:00"/>
    <d v="2025-11-06T00:00:00"/>
    <s v="No"/>
    <m/>
    <d v="2025-11-23T00:00:00"/>
    <n v="8"/>
    <n v="4"/>
    <n v="5"/>
    <n v="5"/>
    <s v="Passive"/>
  </r>
  <r>
    <s v="L1016"/>
    <x v="2"/>
    <s v="Hot"/>
    <d v="2025-10-05T00:00:00"/>
    <d v="2025-10-06T00:00:00"/>
    <d v="2025-10-10T00:00:00"/>
    <d v="2025-10-16T00:00:00"/>
    <s v="No"/>
    <m/>
    <d v="2025-10-26T00:00:00"/>
    <n v="2"/>
    <n v="1"/>
    <n v="4"/>
    <n v="6"/>
    <s v="Detractor"/>
  </r>
  <r>
    <s v="L1017"/>
    <x v="0"/>
    <s v="Hot"/>
    <d v="2025-10-14T00:00:00"/>
    <d v="2025-10-15T00:00:00"/>
    <d v="2025-10-18T00:00:00"/>
    <d v="2025-10-23T00:00:00"/>
    <s v="No"/>
    <m/>
    <d v="2025-11-18T00:00:00"/>
    <n v="0"/>
    <n v="1"/>
    <n v="3"/>
    <n v="5"/>
    <s v="Detractor"/>
  </r>
  <r>
    <s v="L1018"/>
    <x v="0"/>
    <s v="Warm"/>
    <d v="2025-10-06T00:00:00"/>
    <d v="2025-10-07T00:00:00"/>
    <d v="2025-10-12T00:00:00"/>
    <d v="2025-10-17T00:00:00"/>
    <s v="No"/>
    <m/>
    <d v="2025-11-11T00:00:00"/>
    <n v="5"/>
    <n v="1"/>
    <n v="5"/>
    <n v="5"/>
    <s v="Detractor"/>
  </r>
  <r>
    <s v="L1019"/>
    <x v="2"/>
    <s v="Warm"/>
    <d v="2025-10-24T00:00:00"/>
    <d v="2025-10-25T00:00:00"/>
    <d v="2025-10-30T00:00:00"/>
    <d v="2025-11-01T00:00:00"/>
    <s v="No"/>
    <m/>
    <d v="2025-11-11T00:00:00"/>
    <n v="4"/>
    <n v="1"/>
    <n v="5"/>
    <n v="2"/>
    <s v="Detractor"/>
  </r>
  <r>
    <s v="L1020"/>
    <x v="3"/>
    <s v="Warm"/>
    <d v="2025-10-17T00:00:00"/>
    <d v="2025-10-21T00:00:00"/>
    <d v="2025-10-23T00:00:00"/>
    <d v="2025-10-30T00:00:00"/>
    <s v="No"/>
    <m/>
    <d v="2025-11-19T00:00:00"/>
    <n v="6"/>
    <n v="4"/>
    <n v="2"/>
    <n v="7"/>
    <s v="Detractor"/>
  </r>
  <r>
    <s v="L1021"/>
    <x v="0"/>
    <s v="Hot"/>
    <d v="2025-10-31T00:00:00"/>
    <d v="2025-11-01T00:00:00"/>
    <d v="2025-11-02T00:00:00"/>
    <d v="2025-11-05T00:00:00"/>
    <s v="No"/>
    <m/>
    <d v="2025-12-04T00:00:00"/>
    <n v="3"/>
    <n v="1"/>
    <n v="1"/>
    <n v="3"/>
    <s v="Detractor"/>
  </r>
  <r>
    <s v="L1022"/>
    <x v="1"/>
    <s v="Warm"/>
    <d v="2025-10-21T00:00:00"/>
    <d v="2025-10-24T00:00:00"/>
    <d v="2025-10-29T00:00:00"/>
    <d v="2025-11-01T00:00:00"/>
    <s v="No"/>
    <m/>
    <d v="2025-11-17T00:00:00"/>
    <n v="8"/>
    <n v="3"/>
    <n v="5"/>
    <n v="3"/>
    <s v="Passive"/>
  </r>
  <r>
    <s v="L1023"/>
    <x v="0"/>
    <s v="Warm"/>
    <d v="2025-10-09T00:00:00"/>
    <d v="2025-10-11T00:00:00"/>
    <d v="2025-10-15T00:00:00"/>
    <d v="2025-10-19T00:00:00"/>
    <s v="No"/>
    <m/>
    <d v="2025-11-02T00:00:00"/>
    <n v="3"/>
    <n v="2"/>
    <n v="4"/>
    <n v="4"/>
    <s v="Detractor"/>
  </r>
  <r>
    <s v="L1024"/>
    <x v="1"/>
    <s v="Warm"/>
    <d v="2025-10-20T00:00:00"/>
    <d v="2025-10-25T00:00:00"/>
    <d v="2025-10-27T00:00:00"/>
    <d v="2025-11-03T00:00:00"/>
    <s v="No"/>
    <m/>
    <d v="2025-11-23T00:00:00"/>
    <n v="1"/>
    <n v="5"/>
    <n v="2"/>
    <n v="7"/>
    <s v="Detractor"/>
  </r>
  <r>
    <s v="L1025"/>
    <x v="3"/>
    <s v="Warm"/>
    <d v="2025-10-26T00:00:00"/>
    <d v="2025-10-27T00:00:00"/>
    <d v="2025-11-01T00:00:00"/>
    <d v="2025-11-03T00:00:00"/>
    <s v="No"/>
    <m/>
    <d v="2025-11-18T00:00:00"/>
    <n v="4"/>
    <n v="1"/>
    <n v="5"/>
    <n v="2"/>
    <s v="Detractor"/>
  </r>
  <r>
    <s v="L1026"/>
    <x v="2"/>
    <s v="Warm"/>
    <d v="2025-10-30T00:00:00"/>
    <d v="2025-11-04T00:00:00"/>
    <d v="2025-11-09T00:00:00"/>
    <d v="2025-11-15T00:00:00"/>
    <s v="No"/>
    <m/>
    <d v="2025-12-05T00:00:00"/>
    <n v="1"/>
    <n v="5"/>
    <n v="5"/>
    <n v="6"/>
    <s v="Detractor"/>
  </r>
  <r>
    <s v="L1027"/>
    <x v="0"/>
    <s v="Warm"/>
    <d v="2025-10-18T00:00:00"/>
    <d v="2025-10-23T00:00:00"/>
    <d v="2025-10-27T00:00:00"/>
    <d v="2025-10-29T00:00:00"/>
    <s v="No"/>
    <m/>
    <d v="2025-11-09T00:00:00"/>
    <n v="3"/>
    <n v="5"/>
    <n v="4"/>
    <n v="2"/>
    <s v="Detractor"/>
  </r>
  <r>
    <s v="L1028"/>
    <x v="2"/>
    <s v="Warm"/>
    <d v="2025-10-25T00:00:00"/>
    <d v="2025-10-30T00:00:00"/>
    <d v="2025-11-01T00:00:00"/>
    <d v="2025-11-07T00:00:00"/>
    <s v="No"/>
    <m/>
    <d v="2025-11-17T00:00:00"/>
    <n v="3"/>
    <n v="5"/>
    <n v="2"/>
    <n v="6"/>
    <s v="Detractor"/>
  </r>
  <r>
    <s v="L1029"/>
    <x v="0"/>
    <s v="Cold"/>
    <d v="2025-10-16T00:00:00"/>
    <m/>
    <m/>
    <m/>
    <s v="Yes"/>
    <s v="Changed Mind"/>
    <m/>
    <m/>
    <m/>
    <n v="0"/>
    <n v="0"/>
    <s v="Detractor"/>
  </r>
  <r>
    <s v="L1030"/>
    <x v="1"/>
    <s v="Warm"/>
    <d v="2025-10-15T00:00:00"/>
    <d v="2025-10-18T00:00:00"/>
    <d v="2025-10-20T00:00:00"/>
    <d v="2025-10-23T00:00:00"/>
    <s v="No"/>
    <m/>
    <d v="2025-11-06T00:00:00"/>
    <n v="3"/>
    <n v="3"/>
    <n v="2"/>
    <n v="3"/>
    <s v="Detractor"/>
  </r>
  <r>
    <s v="L1031"/>
    <x v="2"/>
    <s v="Warm"/>
    <d v="2025-10-14T00:00:00"/>
    <d v="2025-10-15T00:00:00"/>
    <d v="2025-10-16T00:00:00"/>
    <d v="2025-10-20T00:00:00"/>
    <s v="No"/>
    <m/>
    <d v="2025-11-17T00:00:00"/>
    <n v="5"/>
    <n v="1"/>
    <n v="1"/>
    <n v="4"/>
    <s v="Detractor"/>
  </r>
  <r>
    <s v="L1032"/>
    <x v="0"/>
    <s v="Warm"/>
    <d v="2025-10-27T00:00:00"/>
    <d v="2025-10-31T00:00:00"/>
    <d v="2025-11-05T00:00:00"/>
    <d v="2025-11-09T00:00:00"/>
    <s v="No"/>
    <m/>
    <d v="2025-11-23T00:00:00"/>
    <n v="3"/>
    <n v="4"/>
    <n v="5"/>
    <n v="4"/>
    <s v="Detractor"/>
  </r>
  <r>
    <s v="L1033"/>
    <x v="1"/>
    <s v="Warm"/>
    <d v="2025-10-24T00:00:00"/>
    <d v="2025-10-27T00:00:00"/>
    <d v="2025-10-28T00:00:00"/>
    <d v="2025-10-31T00:00:00"/>
    <s v="No"/>
    <m/>
    <d v="2025-11-13T00:00:00"/>
    <n v="3"/>
    <n v="3"/>
    <n v="1"/>
    <n v="3"/>
    <s v="Detractor"/>
  </r>
  <r>
    <s v="L1034"/>
    <x v="2"/>
    <s v="Cold"/>
    <d v="2025-10-19T00:00:00"/>
    <m/>
    <m/>
    <m/>
    <s v="Yes"/>
    <s v="Model Unavailable"/>
    <m/>
    <m/>
    <m/>
    <n v="0"/>
    <n v="0"/>
    <s v="Detractor"/>
  </r>
  <r>
    <s v="L1035"/>
    <x v="2"/>
    <s v="Warm"/>
    <d v="2025-10-09T00:00:00"/>
    <d v="2025-10-13T00:00:00"/>
    <d v="2025-10-15T00:00:00"/>
    <d v="2025-10-20T00:00:00"/>
    <s v="No"/>
    <m/>
    <d v="2025-11-15T00:00:00"/>
    <n v="9"/>
    <n v="4"/>
    <n v="2"/>
    <n v="5"/>
    <s v="Promoter"/>
  </r>
  <r>
    <s v="L1036"/>
    <x v="0"/>
    <s v="Warm"/>
    <d v="2025-10-11T00:00:00"/>
    <d v="2025-10-12T00:00:00"/>
    <d v="2025-10-13T00:00:00"/>
    <d v="2025-10-15T00:00:00"/>
    <s v="Yes"/>
    <s v="Financing Issue"/>
    <m/>
    <m/>
    <n v="1"/>
    <n v="1"/>
    <n v="2"/>
    <s v="Detractor"/>
  </r>
  <r>
    <s v="L1037"/>
    <x v="0"/>
    <s v="Warm"/>
    <d v="2025-10-28T00:00:00"/>
    <d v="2025-10-31T00:00:00"/>
    <d v="2025-11-04T00:00:00"/>
    <d v="2025-11-08T00:00:00"/>
    <s v="No"/>
    <m/>
    <d v="2025-11-29T00:00:00"/>
    <n v="2"/>
    <n v="3"/>
    <n v="4"/>
    <n v="4"/>
    <s v="Detractor"/>
  </r>
  <r>
    <s v="L1038"/>
    <x v="0"/>
    <s v="Warm"/>
    <d v="2025-10-08T00:00:00"/>
    <d v="2025-10-13T00:00:00"/>
    <d v="2025-10-16T00:00:00"/>
    <d v="2025-10-23T00:00:00"/>
    <s v="No"/>
    <m/>
    <d v="2025-11-04T00:00:00"/>
    <n v="9"/>
    <n v="5"/>
    <n v="3"/>
    <n v="7"/>
    <s v="Promoter"/>
  </r>
  <r>
    <s v="L1039"/>
    <x v="1"/>
    <s v="Warm"/>
    <d v="2025-10-27T00:00:00"/>
    <d v="2025-10-30T00:00:00"/>
    <d v="2025-11-03T00:00:00"/>
    <d v="2025-11-08T00:00:00"/>
    <s v="Yes"/>
    <s v="Other"/>
    <m/>
    <m/>
    <n v="3"/>
    <n v="4"/>
    <n v="5"/>
    <s v="Detractor"/>
  </r>
  <r>
    <s v="L1040"/>
    <x v="0"/>
    <s v="Cold"/>
    <d v="2025-10-30T00:00:00"/>
    <m/>
    <m/>
    <m/>
    <s v="Yes"/>
    <s v="Model Unavailable"/>
    <m/>
    <m/>
    <m/>
    <n v="0"/>
    <n v="0"/>
    <s v="Detractor"/>
  </r>
  <r>
    <s v="L1041"/>
    <x v="2"/>
    <s v="Warm"/>
    <d v="2025-10-03T00:00:00"/>
    <d v="2025-10-06T00:00:00"/>
    <d v="2025-10-08T00:00:00"/>
    <d v="2025-10-14T00:00:00"/>
    <s v="No"/>
    <m/>
    <d v="2025-11-04T00:00:00"/>
    <n v="6"/>
    <n v="3"/>
    <n v="2"/>
    <n v="6"/>
    <s v="Detractor"/>
  </r>
  <r>
    <s v="L1042"/>
    <x v="2"/>
    <s v="Warm"/>
    <d v="2025-10-09T00:00:00"/>
    <d v="2025-10-10T00:00:00"/>
    <d v="2025-10-14T00:00:00"/>
    <d v="2025-10-21T00:00:00"/>
    <s v="No"/>
    <m/>
    <d v="2025-11-12T00:00:00"/>
    <n v="7"/>
    <n v="1"/>
    <n v="4"/>
    <n v="7"/>
    <s v="Passive"/>
  </r>
  <r>
    <s v="L1043"/>
    <x v="0"/>
    <s v="Cold"/>
    <d v="2025-10-29T00:00:00"/>
    <m/>
    <m/>
    <m/>
    <s v="Yes"/>
    <s v="Changed Mind"/>
    <m/>
    <m/>
    <m/>
    <n v="0"/>
    <n v="0"/>
    <s v="Detractor"/>
  </r>
  <r>
    <s v="L1044"/>
    <x v="0"/>
    <s v="Hot"/>
    <d v="2025-10-15T00:00:00"/>
    <d v="2025-10-20T00:00:00"/>
    <d v="2025-10-22T00:00:00"/>
    <d v="2025-10-26T00:00:00"/>
    <s v="No"/>
    <m/>
    <d v="2025-11-23T00:00:00"/>
    <n v="8"/>
    <n v="5"/>
    <n v="2"/>
    <n v="4"/>
    <s v="Passive"/>
  </r>
  <r>
    <s v="L1045"/>
    <x v="3"/>
    <s v="Hot"/>
    <d v="2025-10-08T00:00:00"/>
    <d v="2025-10-13T00:00:00"/>
    <d v="2025-10-17T00:00:00"/>
    <d v="2025-10-23T00:00:00"/>
    <s v="No"/>
    <m/>
    <d v="2025-11-05T00:00:00"/>
    <n v="3"/>
    <n v="5"/>
    <n v="4"/>
    <n v="6"/>
    <s v="Detractor"/>
  </r>
  <r>
    <s v="L1046"/>
    <x v="2"/>
    <s v="Warm"/>
    <d v="2025-10-25T00:00:00"/>
    <d v="2025-10-27T00:00:00"/>
    <d v="2025-11-01T00:00:00"/>
    <d v="2025-11-06T00:00:00"/>
    <s v="No"/>
    <m/>
    <d v="2025-11-26T00:00:00"/>
    <n v="5"/>
    <n v="2"/>
    <n v="5"/>
    <n v="5"/>
    <s v="Detractor"/>
  </r>
  <r>
    <s v="L1047"/>
    <x v="1"/>
    <s v="Cold"/>
    <d v="2025-10-15T00:00:00"/>
    <m/>
    <m/>
    <m/>
    <s v="Yes"/>
    <s v="Model Unavailable"/>
    <m/>
    <m/>
    <m/>
    <n v="0"/>
    <n v="0"/>
    <s v="Detractor"/>
  </r>
  <r>
    <s v="L1048"/>
    <x v="3"/>
    <s v="Hot"/>
    <d v="2025-10-19T00:00:00"/>
    <d v="2025-10-21T00:00:00"/>
    <d v="2025-10-26T00:00:00"/>
    <d v="2025-11-01T00:00:00"/>
    <s v="No"/>
    <m/>
    <d v="2025-11-20T00:00:00"/>
    <n v="0"/>
    <n v="2"/>
    <n v="5"/>
    <n v="6"/>
    <s v="Detractor"/>
  </r>
  <r>
    <s v="L1049"/>
    <x v="0"/>
    <s v="Hot"/>
    <d v="2025-10-20T00:00:00"/>
    <d v="2025-10-24T00:00:00"/>
    <d v="2025-10-28T00:00:00"/>
    <d v="2025-11-02T00:00:00"/>
    <s v="No"/>
    <m/>
    <d v="2025-11-22T00:00:00"/>
    <n v="6"/>
    <n v="4"/>
    <n v="4"/>
    <n v="5"/>
    <s v="Detractor"/>
  </r>
  <r>
    <s v="L1050"/>
    <x v="0"/>
    <s v="Hot"/>
    <d v="2025-10-22T00:00:00"/>
    <d v="2025-10-24T00:00:00"/>
    <d v="2025-10-25T00:00:00"/>
    <d v="2025-10-31T00:00:00"/>
    <s v="No"/>
    <m/>
    <d v="2025-11-14T00:00:00"/>
    <n v="6"/>
    <n v="2"/>
    <n v="1"/>
    <n v="6"/>
    <s v="Detractor"/>
  </r>
  <r>
    <s v="L1051"/>
    <x v="2"/>
    <s v="Hot"/>
    <d v="2025-10-13T00:00:00"/>
    <d v="2025-10-14T00:00:00"/>
    <d v="2025-10-16T00:00:00"/>
    <d v="2025-10-18T00:00:00"/>
    <s v="No"/>
    <m/>
    <d v="2025-11-02T00:00:00"/>
    <n v="6"/>
    <n v="1"/>
    <n v="2"/>
    <n v="2"/>
    <s v="Detractor"/>
  </r>
  <r>
    <s v="L1052"/>
    <x v="0"/>
    <s v="Hot"/>
    <d v="2025-10-11T00:00:00"/>
    <d v="2025-10-14T00:00:00"/>
    <d v="2025-10-19T00:00:00"/>
    <d v="2025-10-23T00:00:00"/>
    <s v="No"/>
    <m/>
    <d v="2025-11-15T00:00:00"/>
    <n v="4"/>
    <n v="3"/>
    <n v="5"/>
    <n v="4"/>
    <s v="Detractor"/>
  </r>
  <r>
    <s v="L1053"/>
    <x v="1"/>
    <s v="Warm"/>
    <d v="2025-10-01T00:00:00"/>
    <d v="2025-10-06T00:00:00"/>
    <d v="2025-10-08T00:00:00"/>
    <d v="2025-10-12T00:00:00"/>
    <s v="No"/>
    <m/>
    <d v="2025-11-11T00:00:00"/>
    <n v="4"/>
    <n v="5"/>
    <n v="2"/>
    <n v="4"/>
    <s v="Detractor"/>
  </r>
  <r>
    <s v="L1054"/>
    <x v="2"/>
    <s v="Warm"/>
    <d v="2025-10-16T00:00:00"/>
    <d v="2025-10-19T00:00:00"/>
    <d v="2025-10-24T00:00:00"/>
    <d v="2025-10-29T00:00:00"/>
    <s v="No"/>
    <m/>
    <d v="2025-11-23T00:00:00"/>
    <n v="8"/>
    <n v="3"/>
    <n v="5"/>
    <n v="5"/>
    <s v="Passive"/>
  </r>
  <r>
    <s v="L1055"/>
    <x v="0"/>
    <s v="Hot"/>
    <d v="2025-10-28T00:00:00"/>
    <d v="2025-10-29T00:00:00"/>
    <d v="2025-11-01T00:00:00"/>
    <d v="2025-11-07T00:00:00"/>
    <s v="No"/>
    <m/>
    <d v="2025-12-07T00:00:00"/>
    <n v="3"/>
    <n v="1"/>
    <n v="3"/>
    <n v="6"/>
    <s v="Detractor"/>
  </r>
  <r>
    <s v="L1056"/>
    <x v="2"/>
    <s v="Warm"/>
    <d v="2025-10-11T00:00:00"/>
    <d v="2025-10-14T00:00:00"/>
    <d v="2025-10-18T00:00:00"/>
    <d v="2025-10-21T00:00:00"/>
    <s v="No"/>
    <m/>
    <d v="2025-11-10T00:00:00"/>
    <n v="6"/>
    <n v="3"/>
    <n v="4"/>
    <n v="3"/>
    <s v="Detractor"/>
  </r>
  <r>
    <s v="L1057"/>
    <x v="0"/>
    <s v="Hot"/>
    <d v="2025-10-06T00:00:00"/>
    <d v="2025-10-11T00:00:00"/>
    <d v="2025-10-16T00:00:00"/>
    <d v="2025-10-23T00:00:00"/>
    <s v="No"/>
    <m/>
    <d v="2025-11-07T00:00:00"/>
    <n v="1"/>
    <n v="5"/>
    <n v="5"/>
    <n v="7"/>
    <s v="Detractor"/>
  </r>
  <r>
    <s v="L1058"/>
    <x v="0"/>
    <s v="Warm"/>
    <d v="2025-10-16T00:00:00"/>
    <d v="2025-10-18T00:00:00"/>
    <d v="2025-10-22T00:00:00"/>
    <d v="2025-10-29T00:00:00"/>
    <s v="Yes"/>
    <s v="Financing Issue"/>
    <m/>
    <m/>
    <n v="2"/>
    <n v="4"/>
    <n v="7"/>
    <s v="Detractor"/>
  </r>
  <r>
    <s v="L1059"/>
    <x v="0"/>
    <s v="Warm"/>
    <d v="2025-10-07T00:00:00"/>
    <d v="2025-10-11T00:00:00"/>
    <d v="2025-10-14T00:00:00"/>
    <d v="2025-10-18T00:00:00"/>
    <s v="No"/>
    <m/>
    <d v="2025-11-14T00:00:00"/>
    <n v="2"/>
    <n v="4"/>
    <n v="3"/>
    <n v="4"/>
    <s v="Detractor"/>
  </r>
  <r>
    <s v="L1060"/>
    <x v="1"/>
    <s v="Warm"/>
    <d v="2025-10-12T00:00:00"/>
    <d v="2025-10-17T00:00:00"/>
    <d v="2025-10-19T00:00:00"/>
    <d v="2025-10-25T00:00:00"/>
    <s v="No"/>
    <m/>
    <d v="2025-11-23T00:00:00"/>
    <n v="7"/>
    <n v="5"/>
    <n v="2"/>
    <n v="6"/>
    <s v="Passive"/>
  </r>
  <r>
    <s v="L1061"/>
    <x v="1"/>
    <s v="Hot"/>
    <d v="2025-10-26T00:00:00"/>
    <d v="2025-10-31T00:00:00"/>
    <d v="2025-11-04T00:00:00"/>
    <d v="2025-11-10T00:00:00"/>
    <s v="No"/>
    <m/>
    <d v="2025-12-01T00:00:00"/>
    <n v="9"/>
    <n v="5"/>
    <n v="4"/>
    <n v="6"/>
    <s v="Promoter"/>
  </r>
  <r>
    <s v="L1062"/>
    <x v="2"/>
    <s v="Warm"/>
    <d v="2025-10-09T00:00:00"/>
    <d v="2025-10-14T00:00:00"/>
    <d v="2025-10-19T00:00:00"/>
    <d v="2025-10-21T00:00:00"/>
    <s v="No"/>
    <m/>
    <d v="2025-11-07T00:00:00"/>
    <n v="3"/>
    <n v="5"/>
    <n v="5"/>
    <n v="2"/>
    <s v="Detractor"/>
  </r>
  <r>
    <s v="L1063"/>
    <x v="0"/>
    <s v="Hot"/>
    <d v="2025-10-11T00:00:00"/>
    <d v="2025-10-16T00:00:00"/>
    <d v="2025-10-19T00:00:00"/>
    <d v="2025-10-26T00:00:00"/>
    <s v="No"/>
    <m/>
    <d v="2025-11-23T00:00:00"/>
    <n v="3"/>
    <n v="5"/>
    <n v="3"/>
    <n v="7"/>
    <s v="Detractor"/>
  </r>
  <r>
    <s v="L1064"/>
    <x v="0"/>
    <s v="Cold"/>
    <d v="2025-10-09T00:00:00"/>
    <m/>
    <m/>
    <m/>
    <s v="Yes"/>
    <s v="Other"/>
    <m/>
    <m/>
    <m/>
    <n v="0"/>
    <n v="0"/>
    <s v="Detractor"/>
  </r>
  <r>
    <s v="L1065"/>
    <x v="1"/>
    <s v="Warm"/>
    <d v="2025-10-29T00:00:00"/>
    <d v="2025-10-30T00:00:00"/>
    <d v="2025-11-04T00:00:00"/>
    <d v="2025-11-07T00:00:00"/>
    <s v="No"/>
    <m/>
    <d v="2025-11-22T00:00:00"/>
    <n v="10"/>
    <n v="1"/>
    <n v="5"/>
    <n v="3"/>
    <s v="Promoter"/>
  </r>
  <r>
    <s v="L1066"/>
    <x v="0"/>
    <s v="Warm"/>
    <d v="2025-10-20T00:00:00"/>
    <d v="2025-10-25T00:00:00"/>
    <d v="2025-10-28T00:00:00"/>
    <d v="2025-11-01T00:00:00"/>
    <s v="No"/>
    <m/>
    <d v="2025-11-23T00:00:00"/>
    <n v="4"/>
    <n v="5"/>
    <n v="3"/>
    <n v="4"/>
    <s v="Detractor"/>
  </r>
  <r>
    <s v="L1067"/>
    <x v="1"/>
    <s v="Hot"/>
    <d v="2025-10-23T00:00:00"/>
    <d v="2025-10-26T00:00:00"/>
    <d v="2025-10-29T00:00:00"/>
    <d v="2025-10-31T00:00:00"/>
    <s v="No"/>
    <m/>
    <d v="2025-11-19T00:00:00"/>
    <n v="5"/>
    <n v="3"/>
    <n v="3"/>
    <n v="2"/>
    <s v="Detractor"/>
  </r>
  <r>
    <s v="L1068"/>
    <x v="0"/>
    <s v="Cold"/>
    <d v="2025-10-29T00:00:00"/>
    <m/>
    <m/>
    <m/>
    <s v="Yes"/>
    <s v="Financing Issue"/>
    <m/>
    <m/>
    <m/>
    <n v="0"/>
    <n v="0"/>
    <s v="Detractor"/>
  </r>
  <r>
    <s v="L1069"/>
    <x v="2"/>
    <s v="Hot"/>
    <d v="2025-10-09T00:00:00"/>
    <d v="2025-10-10T00:00:00"/>
    <d v="2025-10-15T00:00:00"/>
    <d v="2025-10-18T00:00:00"/>
    <s v="No"/>
    <m/>
    <d v="2025-11-06T00:00:00"/>
    <n v="1"/>
    <n v="1"/>
    <n v="5"/>
    <n v="3"/>
    <s v="Detractor"/>
  </r>
  <r>
    <s v="L1070"/>
    <x v="0"/>
    <s v="Hot"/>
    <d v="2025-10-18T00:00:00"/>
    <d v="2025-10-20T00:00:00"/>
    <d v="2025-10-24T00:00:00"/>
    <d v="2025-10-28T00:00:00"/>
    <s v="No"/>
    <m/>
    <d v="2025-11-11T00:00:00"/>
    <n v="10"/>
    <n v="2"/>
    <n v="4"/>
    <n v="4"/>
    <s v="Promoter"/>
  </r>
  <r>
    <s v="L1071"/>
    <x v="0"/>
    <s v="Warm"/>
    <d v="2025-10-01T00:00:00"/>
    <d v="2025-10-04T00:00:00"/>
    <d v="2025-10-06T00:00:00"/>
    <d v="2025-10-08T00:00:00"/>
    <s v="No"/>
    <m/>
    <d v="2025-10-23T00:00:00"/>
    <n v="7"/>
    <n v="3"/>
    <n v="2"/>
    <n v="2"/>
    <s v="Passive"/>
  </r>
  <r>
    <s v="L1072"/>
    <x v="3"/>
    <s v="Hot"/>
    <d v="2025-10-17T00:00:00"/>
    <d v="2025-10-20T00:00:00"/>
    <d v="2025-10-22T00:00:00"/>
    <d v="2025-10-25T00:00:00"/>
    <s v="No"/>
    <m/>
    <d v="2025-11-04T00:00:00"/>
    <n v="6"/>
    <n v="3"/>
    <n v="2"/>
    <n v="3"/>
    <s v="Detractor"/>
  </r>
  <r>
    <s v="L1073"/>
    <x v="1"/>
    <s v="Cold"/>
    <d v="2025-10-31T00:00:00"/>
    <m/>
    <m/>
    <m/>
    <s v="Yes"/>
    <s v="Price"/>
    <m/>
    <m/>
    <m/>
    <n v="0"/>
    <n v="0"/>
    <s v="Detractor"/>
  </r>
  <r>
    <s v="L1074"/>
    <x v="0"/>
    <s v="Warm"/>
    <d v="2025-10-07T00:00:00"/>
    <d v="2025-10-10T00:00:00"/>
    <d v="2025-10-13T00:00:00"/>
    <d v="2025-10-17T00:00:00"/>
    <s v="No"/>
    <m/>
    <d v="2025-11-14T00:00:00"/>
    <n v="0"/>
    <n v="3"/>
    <n v="3"/>
    <n v="4"/>
    <s v="Detractor"/>
  </r>
  <r>
    <s v="L1075"/>
    <x v="0"/>
    <s v="Hot"/>
    <d v="2025-10-03T00:00:00"/>
    <d v="2025-10-06T00:00:00"/>
    <d v="2025-10-11T00:00:00"/>
    <d v="2025-10-18T00:00:00"/>
    <s v="No"/>
    <m/>
    <d v="2025-11-09T00:00:00"/>
    <n v="1"/>
    <n v="3"/>
    <n v="5"/>
    <n v="7"/>
    <s v="Detractor"/>
  </r>
  <r>
    <s v="L1076"/>
    <x v="3"/>
    <s v="Warm"/>
    <d v="2025-10-08T00:00:00"/>
    <d v="2025-10-09T00:00:00"/>
    <d v="2025-10-12T00:00:00"/>
    <d v="2025-10-15T00:00:00"/>
    <s v="No"/>
    <m/>
    <d v="2025-11-12T00:00:00"/>
    <n v="8"/>
    <n v="1"/>
    <n v="3"/>
    <n v="3"/>
    <s v="Passive"/>
  </r>
  <r>
    <s v="L1077"/>
    <x v="3"/>
    <s v="Cold"/>
    <d v="2025-10-24T00:00:00"/>
    <m/>
    <m/>
    <m/>
    <s v="Yes"/>
    <s v="Other"/>
    <m/>
    <m/>
    <m/>
    <n v="0"/>
    <n v="0"/>
    <s v="Detractor"/>
  </r>
  <r>
    <s v="L1078"/>
    <x v="1"/>
    <s v="Cold"/>
    <d v="2025-10-14T00:00:00"/>
    <m/>
    <m/>
    <m/>
    <s v="Yes"/>
    <s v="Financing Issue"/>
    <m/>
    <m/>
    <m/>
    <n v="0"/>
    <n v="0"/>
    <s v="Detractor"/>
  </r>
  <r>
    <s v="L1079"/>
    <x v="3"/>
    <s v="Warm"/>
    <d v="2025-10-16T00:00:00"/>
    <d v="2025-10-18T00:00:00"/>
    <d v="2025-10-20T00:00:00"/>
    <d v="2025-10-26T00:00:00"/>
    <s v="Yes"/>
    <s v="Changed Mind"/>
    <m/>
    <m/>
    <n v="2"/>
    <n v="2"/>
    <n v="6"/>
    <s v="Detractor"/>
  </r>
  <r>
    <s v="L1080"/>
    <x v="2"/>
    <s v="Cold"/>
    <d v="2025-10-18T00:00:00"/>
    <m/>
    <m/>
    <m/>
    <s v="Yes"/>
    <s v="Other"/>
    <m/>
    <m/>
    <m/>
    <n v="0"/>
    <n v="0"/>
    <s v="Detractor"/>
  </r>
  <r>
    <s v="L1081"/>
    <x v="3"/>
    <s v="Cold"/>
    <d v="2025-10-25T00:00:00"/>
    <m/>
    <m/>
    <m/>
    <s v="Yes"/>
    <s v="Other"/>
    <m/>
    <m/>
    <m/>
    <n v="0"/>
    <n v="0"/>
    <s v="Detractor"/>
  </r>
  <r>
    <s v="L1082"/>
    <x v="2"/>
    <s v="Warm"/>
    <d v="2025-10-08T00:00:00"/>
    <d v="2025-10-10T00:00:00"/>
    <d v="2025-10-13T00:00:00"/>
    <d v="2025-10-18T00:00:00"/>
    <s v="No"/>
    <m/>
    <d v="2025-10-29T00:00:00"/>
    <n v="5"/>
    <n v="2"/>
    <n v="3"/>
    <n v="5"/>
    <s v="Detractor"/>
  </r>
  <r>
    <s v="L1083"/>
    <x v="1"/>
    <s v="Hot"/>
    <d v="2025-10-23T00:00:00"/>
    <d v="2025-10-28T00:00:00"/>
    <d v="2025-10-31T00:00:00"/>
    <d v="2025-11-05T00:00:00"/>
    <s v="No"/>
    <m/>
    <d v="2025-11-20T00:00:00"/>
    <n v="5"/>
    <n v="5"/>
    <n v="3"/>
    <n v="5"/>
    <s v="Detractor"/>
  </r>
  <r>
    <s v="L1084"/>
    <x v="1"/>
    <s v="Warm"/>
    <d v="2025-10-16T00:00:00"/>
    <d v="2025-10-20T00:00:00"/>
    <d v="2025-10-22T00:00:00"/>
    <d v="2025-10-28T00:00:00"/>
    <s v="No"/>
    <m/>
    <d v="2025-11-26T00:00:00"/>
    <n v="4"/>
    <n v="4"/>
    <n v="2"/>
    <n v="6"/>
    <s v="Detractor"/>
  </r>
  <r>
    <s v="L1085"/>
    <x v="1"/>
    <s v="Cold"/>
    <d v="2025-10-21T00:00:00"/>
    <m/>
    <m/>
    <m/>
    <s v="Yes"/>
    <s v="Model Unavailable"/>
    <m/>
    <m/>
    <m/>
    <n v="0"/>
    <n v="0"/>
    <s v="Detractor"/>
  </r>
  <r>
    <s v="L1086"/>
    <x v="1"/>
    <s v="Hot"/>
    <d v="2025-10-23T00:00:00"/>
    <d v="2025-10-24T00:00:00"/>
    <d v="2025-10-28T00:00:00"/>
    <d v="2025-10-31T00:00:00"/>
    <s v="No"/>
    <m/>
    <d v="2025-11-20T00:00:00"/>
    <n v="7"/>
    <n v="1"/>
    <n v="4"/>
    <n v="3"/>
    <s v="Passive"/>
  </r>
  <r>
    <s v="L1087"/>
    <x v="1"/>
    <s v="Cold"/>
    <d v="2025-10-16T00:00:00"/>
    <m/>
    <m/>
    <m/>
    <s v="Yes"/>
    <s v="Changed Mind"/>
    <m/>
    <m/>
    <m/>
    <n v="0"/>
    <n v="0"/>
    <s v="Detractor"/>
  </r>
  <r>
    <s v="L1088"/>
    <x v="2"/>
    <s v="Hot"/>
    <d v="2025-10-15T00:00:00"/>
    <d v="2025-10-17T00:00:00"/>
    <d v="2025-10-20T00:00:00"/>
    <d v="2025-10-26T00:00:00"/>
    <s v="No"/>
    <m/>
    <d v="2025-11-24T00:00:00"/>
    <n v="5"/>
    <n v="2"/>
    <n v="3"/>
    <n v="6"/>
    <s v="Detractor"/>
  </r>
  <r>
    <s v="L1089"/>
    <x v="2"/>
    <s v="Hot"/>
    <d v="2025-10-26T00:00:00"/>
    <d v="2025-10-27T00:00:00"/>
    <d v="2025-10-31T00:00:00"/>
    <d v="2025-11-05T00:00:00"/>
    <s v="No"/>
    <m/>
    <d v="2025-11-22T00:00:00"/>
    <n v="8"/>
    <n v="1"/>
    <n v="4"/>
    <n v="5"/>
    <s v="Passive"/>
  </r>
  <r>
    <s v="L1090"/>
    <x v="1"/>
    <s v="Warm"/>
    <d v="2025-10-01T00:00:00"/>
    <d v="2025-10-02T00:00:00"/>
    <d v="2025-10-05T00:00:00"/>
    <d v="2025-10-10T00:00:00"/>
    <s v="No"/>
    <m/>
    <d v="2025-11-09T00:00:00"/>
    <n v="0"/>
    <n v="1"/>
    <n v="3"/>
    <n v="5"/>
    <s v="Detractor"/>
  </r>
  <r>
    <s v="L1091"/>
    <x v="3"/>
    <s v="Hot"/>
    <d v="2025-10-03T00:00:00"/>
    <d v="2025-10-08T00:00:00"/>
    <d v="2025-10-13T00:00:00"/>
    <d v="2025-10-16T00:00:00"/>
    <s v="No"/>
    <m/>
    <d v="2025-11-13T00:00:00"/>
    <n v="9"/>
    <n v="5"/>
    <n v="5"/>
    <n v="3"/>
    <s v="Promoter"/>
  </r>
  <r>
    <s v="L1092"/>
    <x v="0"/>
    <s v="Cold"/>
    <d v="2025-10-10T00:00:00"/>
    <m/>
    <m/>
    <m/>
    <s v="Yes"/>
    <s v="Price"/>
    <m/>
    <m/>
    <m/>
    <n v="0"/>
    <n v="0"/>
    <s v="Detractor"/>
  </r>
  <r>
    <s v="L1093"/>
    <x v="1"/>
    <s v="Cold"/>
    <d v="2025-10-08T00:00:00"/>
    <m/>
    <m/>
    <m/>
    <s v="Yes"/>
    <s v="Financing Issue"/>
    <m/>
    <m/>
    <m/>
    <n v="0"/>
    <n v="0"/>
    <s v="Detractor"/>
  </r>
  <r>
    <s v="L1094"/>
    <x v="3"/>
    <s v="Cold"/>
    <d v="2025-10-13T00:00:00"/>
    <m/>
    <m/>
    <m/>
    <s v="Yes"/>
    <s v="Model Unavailable"/>
    <m/>
    <m/>
    <m/>
    <n v="0"/>
    <n v="0"/>
    <s v="Detractor"/>
  </r>
  <r>
    <s v="L1095"/>
    <x v="0"/>
    <s v="Warm"/>
    <d v="2025-10-23T00:00:00"/>
    <d v="2025-10-25T00:00:00"/>
    <d v="2025-10-28T00:00:00"/>
    <d v="2025-11-02T00:00:00"/>
    <s v="No"/>
    <m/>
    <d v="2025-11-15T00:00:00"/>
    <n v="9"/>
    <n v="2"/>
    <n v="3"/>
    <n v="5"/>
    <s v="Promoter"/>
  </r>
  <r>
    <s v="L1096"/>
    <x v="1"/>
    <s v="Hot"/>
    <d v="2025-10-08T00:00:00"/>
    <d v="2025-10-12T00:00:00"/>
    <d v="2025-10-15T00:00:00"/>
    <d v="2025-10-22T00:00:00"/>
    <s v="Yes"/>
    <s v="Financing Issue"/>
    <m/>
    <m/>
    <n v="4"/>
    <n v="3"/>
    <n v="7"/>
    <s v="Detractor"/>
  </r>
  <r>
    <s v="L1097"/>
    <x v="1"/>
    <s v="Warm"/>
    <d v="2025-10-10T00:00:00"/>
    <d v="2025-10-14T00:00:00"/>
    <d v="2025-10-15T00:00:00"/>
    <d v="2025-10-21T00:00:00"/>
    <s v="No"/>
    <m/>
    <d v="2025-11-15T00:00:00"/>
    <n v="6"/>
    <n v="4"/>
    <n v="1"/>
    <n v="6"/>
    <s v="Detractor"/>
  </r>
  <r>
    <s v="L1098"/>
    <x v="2"/>
    <s v="Warm"/>
    <d v="2025-10-22T00:00:00"/>
    <d v="2025-10-26T00:00:00"/>
    <d v="2025-10-31T00:00:00"/>
    <d v="2025-11-07T00:00:00"/>
    <s v="No"/>
    <m/>
    <d v="2025-11-21T00:00:00"/>
    <n v="0"/>
    <n v="4"/>
    <n v="5"/>
    <n v="7"/>
    <s v="Detractor"/>
  </r>
  <r>
    <s v="L1099"/>
    <x v="0"/>
    <s v="Warm"/>
    <d v="2025-10-19T00:00:00"/>
    <d v="2025-10-22T00:00:00"/>
    <d v="2025-10-27T00:00:00"/>
    <d v="2025-11-03T00:00:00"/>
    <s v="No"/>
    <m/>
    <d v="2025-11-23T00:00:00"/>
    <n v="10"/>
    <n v="3"/>
    <n v="5"/>
    <n v="7"/>
    <s v="Promoter"/>
  </r>
  <r>
    <s v="L1100"/>
    <x v="0"/>
    <s v="Hot"/>
    <d v="2025-10-12T00:00:00"/>
    <d v="2025-10-14T00:00:00"/>
    <d v="2025-10-18T00:00:00"/>
    <d v="2025-10-21T00:00:00"/>
    <s v="No"/>
    <m/>
    <d v="2025-11-02T00:00:00"/>
    <n v="1"/>
    <n v="2"/>
    <n v="4"/>
    <n v="3"/>
    <s v="Detractor"/>
  </r>
  <r>
    <s v="L1101"/>
    <x v="3"/>
    <s v="Warm"/>
    <d v="2025-10-16T00:00:00"/>
    <d v="2025-10-19T00:00:00"/>
    <d v="2025-10-23T00:00:00"/>
    <d v="2025-10-29T00:00:00"/>
    <s v="No"/>
    <m/>
    <d v="2025-11-15T00:00:00"/>
    <n v="1"/>
    <n v="3"/>
    <n v="4"/>
    <n v="6"/>
    <s v="Detractor"/>
  </r>
  <r>
    <s v="L1102"/>
    <x v="2"/>
    <s v="Warm"/>
    <d v="2025-10-18T00:00:00"/>
    <d v="2025-10-21T00:00:00"/>
    <d v="2025-10-24T00:00:00"/>
    <d v="2025-10-27T00:00:00"/>
    <s v="No"/>
    <m/>
    <d v="2025-11-17T00:00:00"/>
    <n v="0"/>
    <n v="3"/>
    <n v="3"/>
    <n v="3"/>
    <s v="Detractor"/>
  </r>
  <r>
    <s v="L1103"/>
    <x v="2"/>
    <s v="Cold"/>
    <d v="2025-10-17T00:00:00"/>
    <m/>
    <m/>
    <m/>
    <s v="Yes"/>
    <s v="Price"/>
    <m/>
    <m/>
    <m/>
    <n v="0"/>
    <n v="0"/>
    <s v="Detractor"/>
  </r>
  <r>
    <s v="L1104"/>
    <x v="2"/>
    <s v="Cold"/>
    <d v="2025-10-12T00:00:00"/>
    <m/>
    <m/>
    <m/>
    <s v="Yes"/>
    <s v="Price"/>
    <m/>
    <m/>
    <m/>
    <n v="0"/>
    <n v="0"/>
    <s v="Detractor"/>
  </r>
  <r>
    <s v="L1105"/>
    <x v="2"/>
    <s v="Warm"/>
    <d v="2025-10-14T00:00:00"/>
    <d v="2025-10-17T00:00:00"/>
    <d v="2025-10-19T00:00:00"/>
    <d v="2025-10-24T00:00:00"/>
    <s v="No"/>
    <m/>
    <d v="2025-11-13T00:00:00"/>
    <n v="2"/>
    <n v="3"/>
    <n v="2"/>
    <n v="5"/>
    <s v="Detractor"/>
  </r>
  <r>
    <s v="L1106"/>
    <x v="0"/>
    <s v="Warm"/>
    <d v="2025-10-24T00:00:00"/>
    <d v="2025-10-29T00:00:00"/>
    <d v="2025-11-01T00:00:00"/>
    <d v="2025-11-05T00:00:00"/>
    <s v="Yes"/>
    <s v="Other"/>
    <m/>
    <m/>
    <n v="5"/>
    <n v="3"/>
    <n v="4"/>
    <s v="Detractor"/>
  </r>
  <r>
    <s v="L1107"/>
    <x v="0"/>
    <s v="Warm"/>
    <d v="2025-10-18T00:00:00"/>
    <d v="2025-10-23T00:00:00"/>
    <d v="2025-10-24T00:00:00"/>
    <d v="2025-10-27T00:00:00"/>
    <s v="No"/>
    <m/>
    <d v="2025-11-11T00:00:00"/>
    <n v="10"/>
    <n v="5"/>
    <n v="1"/>
    <n v="3"/>
    <s v="Promoter"/>
  </r>
  <r>
    <s v="L1108"/>
    <x v="1"/>
    <s v="Hot"/>
    <d v="2025-10-11T00:00:00"/>
    <d v="2025-10-12T00:00:00"/>
    <d v="2025-10-15T00:00:00"/>
    <d v="2025-10-18T00:00:00"/>
    <s v="No"/>
    <m/>
    <d v="2025-11-17T00:00:00"/>
    <n v="4"/>
    <n v="1"/>
    <n v="3"/>
    <n v="3"/>
    <s v="Detractor"/>
  </r>
  <r>
    <s v="L1109"/>
    <x v="1"/>
    <s v="Cold"/>
    <d v="2025-10-12T00:00:00"/>
    <m/>
    <m/>
    <m/>
    <s v="Yes"/>
    <s v="Price"/>
    <m/>
    <m/>
    <m/>
    <n v="0"/>
    <n v="0"/>
    <s v="Detractor"/>
  </r>
  <r>
    <s v="L1110"/>
    <x v="2"/>
    <s v="Cold"/>
    <d v="2025-10-23T00:00:00"/>
    <m/>
    <m/>
    <m/>
    <s v="Yes"/>
    <s v="Financing Issue"/>
    <m/>
    <m/>
    <m/>
    <n v="0"/>
    <n v="0"/>
    <s v="Detractor"/>
  </r>
  <r>
    <s v="L1111"/>
    <x v="2"/>
    <s v="Warm"/>
    <d v="2025-10-15T00:00:00"/>
    <d v="2025-10-16T00:00:00"/>
    <d v="2025-10-17T00:00:00"/>
    <d v="2025-10-21T00:00:00"/>
    <s v="No"/>
    <m/>
    <d v="2025-11-02T00:00:00"/>
    <n v="2"/>
    <n v="1"/>
    <n v="1"/>
    <n v="4"/>
    <s v="Detractor"/>
  </r>
  <r>
    <s v="L1112"/>
    <x v="2"/>
    <s v="Warm"/>
    <d v="2025-10-09T00:00:00"/>
    <d v="2025-10-11T00:00:00"/>
    <d v="2025-10-14T00:00:00"/>
    <d v="2025-10-19T00:00:00"/>
    <s v="Yes"/>
    <s v="Changed Mind"/>
    <m/>
    <m/>
    <n v="2"/>
    <n v="3"/>
    <n v="5"/>
    <s v="Detractor"/>
  </r>
  <r>
    <s v="L1113"/>
    <x v="1"/>
    <s v="Hot"/>
    <d v="2025-10-10T00:00:00"/>
    <d v="2025-10-12T00:00:00"/>
    <d v="2025-10-16T00:00:00"/>
    <d v="2025-10-22T00:00:00"/>
    <s v="No"/>
    <m/>
    <d v="2025-11-21T00:00:00"/>
    <n v="6"/>
    <n v="2"/>
    <n v="4"/>
    <n v="6"/>
    <s v="Detractor"/>
  </r>
  <r>
    <s v="L1114"/>
    <x v="3"/>
    <s v="Warm"/>
    <d v="2025-10-09T00:00:00"/>
    <d v="2025-10-14T00:00:00"/>
    <d v="2025-10-17T00:00:00"/>
    <d v="2025-10-19T00:00:00"/>
    <s v="No"/>
    <m/>
    <d v="2025-11-08T00:00:00"/>
    <n v="10"/>
    <n v="5"/>
    <n v="3"/>
    <n v="2"/>
    <s v="Promoter"/>
  </r>
  <r>
    <s v="L1115"/>
    <x v="3"/>
    <s v="Hot"/>
    <d v="2025-10-08T00:00:00"/>
    <d v="2025-10-09T00:00:00"/>
    <d v="2025-10-13T00:00:00"/>
    <d v="2025-10-17T00:00:00"/>
    <s v="No"/>
    <m/>
    <d v="2025-11-10T00:00:00"/>
    <n v="8"/>
    <n v="1"/>
    <n v="4"/>
    <n v="4"/>
    <s v="Passive"/>
  </r>
  <r>
    <s v="L1116"/>
    <x v="1"/>
    <s v="Cold"/>
    <d v="2025-10-04T00:00:00"/>
    <m/>
    <m/>
    <m/>
    <s v="Yes"/>
    <s v="Changed Mind"/>
    <m/>
    <m/>
    <m/>
    <n v="0"/>
    <n v="0"/>
    <s v="Detractor"/>
  </r>
  <r>
    <s v="L1117"/>
    <x v="1"/>
    <s v="Hot"/>
    <d v="2025-10-24T00:00:00"/>
    <d v="2025-10-25T00:00:00"/>
    <d v="2025-10-27T00:00:00"/>
    <d v="2025-10-29T00:00:00"/>
    <s v="No"/>
    <m/>
    <d v="2025-11-08T00:00:00"/>
    <n v="1"/>
    <n v="1"/>
    <n v="2"/>
    <n v="2"/>
    <s v="Detractor"/>
  </r>
  <r>
    <s v="L1118"/>
    <x v="1"/>
    <s v="Warm"/>
    <d v="2025-10-07T00:00:00"/>
    <d v="2025-10-10T00:00:00"/>
    <d v="2025-10-12T00:00:00"/>
    <d v="2025-10-17T00:00:00"/>
    <s v="No"/>
    <m/>
    <d v="2025-11-04T00:00:00"/>
    <n v="5"/>
    <n v="3"/>
    <n v="2"/>
    <n v="5"/>
    <s v="Detractor"/>
  </r>
  <r>
    <s v="L1119"/>
    <x v="1"/>
    <s v="Cold"/>
    <d v="2025-10-11T00:00:00"/>
    <m/>
    <m/>
    <m/>
    <s v="Yes"/>
    <s v="Other"/>
    <m/>
    <m/>
    <m/>
    <n v="0"/>
    <n v="0"/>
    <s v="Detractor"/>
  </r>
  <r>
    <s v="L1120"/>
    <x v="1"/>
    <s v="Warm"/>
    <d v="2025-10-04T00:00:00"/>
    <d v="2025-10-08T00:00:00"/>
    <d v="2025-10-13T00:00:00"/>
    <d v="2025-10-16T00:00:00"/>
    <s v="No"/>
    <m/>
    <d v="2025-11-01T00:00:00"/>
    <n v="1"/>
    <n v="4"/>
    <n v="5"/>
    <n v="3"/>
    <s v="Detractor"/>
  </r>
  <r>
    <s v="L1121"/>
    <x v="1"/>
    <s v="Hot"/>
    <d v="2025-10-24T00:00:00"/>
    <d v="2025-10-28T00:00:00"/>
    <d v="2025-10-31T00:00:00"/>
    <d v="2025-11-03T00:00:00"/>
    <s v="No"/>
    <m/>
    <d v="2025-11-20T00:00:00"/>
    <n v="2"/>
    <n v="4"/>
    <n v="3"/>
    <n v="3"/>
    <s v="Detractor"/>
  </r>
  <r>
    <s v="L1122"/>
    <x v="2"/>
    <s v="Hot"/>
    <d v="2025-10-18T00:00:00"/>
    <d v="2025-10-22T00:00:00"/>
    <d v="2025-10-27T00:00:00"/>
    <d v="2025-11-01T00:00:00"/>
    <s v="No"/>
    <m/>
    <d v="2025-11-13T00:00:00"/>
    <n v="6"/>
    <n v="4"/>
    <n v="5"/>
    <n v="5"/>
    <s v="Detractor"/>
  </r>
  <r>
    <s v="L1123"/>
    <x v="2"/>
    <s v="Hot"/>
    <d v="2025-10-31T00:00:00"/>
    <d v="2025-11-05T00:00:00"/>
    <d v="2025-11-08T00:00:00"/>
    <d v="2025-11-14T00:00:00"/>
    <s v="No"/>
    <m/>
    <d v="2025-12-05T00:00:00"/>
    <n v="5"/>
    <n v="5"/>
    <n v="3"/>
    <n v="6"/>
    <s v="Detractor"/>
  </r>
  <r>
    <s v="L1124"/>
    <x v="2"/>
    <s v="Warm"/>
    <d v="2025-10-25T00:00:00"/>
    <d v="2025-10-29T00:00:00"/>
    <d v="2025-10-31T00:00:00"/>
    <d v="2025-11-06T00:00:00"/>
    <s v="No"/>
    <m/>
    <d v="2025-11-24T00:00:00"/>
    <n v="4"/>
    <n v="4"/>
    <n v="2"/>
    <n v="6"/>
    <s v="Detractor"/>
  </r>
  <r>
    <s v="L1125"/>
    <x v="2"/>
    <s v="Hot"/>
    <d v="2025-10-23T00:00:00"/>
    <d v="2025-10-27T00:00:00"/>
    <d v="2025-10-28T00:00:00"/>
    <d v="2025-11-04T00:00:00"/>
    <s v="No"/>
    <m/>
    <d v="2025-11-17T00:00:00"/>
    <n v="0"/>
    <n v="4"/>
    <n v="1"/>
    <n v="7"/>
    <s v="Detractor"/>
  </r>
  <r>
    <s v="L1126"/>
    <x v="1"/>
    <s v="Warm"/>
    <d v="2025-10-06T00:00:00"/>
    <d v="2025-10-09T00:00:00"/>
    <d v="2025-10-14T00:00:00"/>
    <d v="2025-10-19T00:00:00"/>
    <s v="No"/>
    <m/>
    <d v="2025-10-29T00:00:00"/>
    <n v="4"/>
    <n v="3"/>
    <n v="5"/>
    <n v="5"/>
    <s v="Detractor"/>
  </r>
  <r>
    <s v="L1127"/>
    <x v="3"/>
    <s v="Cold"/>
    <d v="2025-10-07T00:00:00"/>
    <m/>
    <m/>
    <m/>
    <s v="Yes"/>
    <s v="Financing Issue"/>
    <m/>
    <m/>
    <m/>
    <n v="0"/>
    <n v="0"/>
    <s v="Detractor"/>
  </r>
  <r>
    <s v="L1128"/>
    <x v="0"/>
    <s v="Hot"/>
    <d v="2025-10-07T00:00:00"/>
    <d v="2025-10-09T00:00:00"/>
    <d v="2025-10-14T00:00:00"/>
    <d v="2025-10-19T00:00:00"/>
    <s v="No"/>
    <m/>
    <d v="2025-10-30T00:00:00"/>
    <n v="4"/>
    <n v="2"/>
    <n v="5"/>
    <n v="5"/>
    <s v="Detractor"/>
  </r>
  <r>
    <s v="L1129"/>
    <x v="1"/>
    <s v="Cold"/>
    <d v="2025-10-24T00:00:00"/>
    <m/>
    <m/>
    <m/>
    <s v="Yes"/>
    <s v="Financing Issue"/>
    <m/>
    <m/>
    <m/>
    <n v="0"/>
    <n v="0"/>
    <s v="Detractor"/>
  </r>
  <r>
    <s v="L1130"/>
    <x v="0"/>
    <s v="Cold"/>
    <d v="2025-10-16T00:00:00"/>
    <m/>
    <m/>
    <m/>
    <s v="Yes"/>
    <s v="Price"/>
    <m/>
    <m/>
    <m/>
    <n v="0"/>
    <n v="0"/>
    <s v="Detractor"/>
  </r>
  <r>
    <s v="L1131"/>
    <x v="3"/>
    <s v="Hot"/>
    <d v="2025-10-09T00:00:00"/>
    <d v="2025-10-14T00:00:00"/>
    <d v="2025-10-16T00:00:00"/>
    <d v="2025-10-23T00:00:00"/>
    <s v="No"/>
    <m/>
    <d v="2025-11-14T00:00:00"/>
    <n v="4"/>
    <n v="5"/>
    <n v="2"/>
    <n v="7"/>
    <s v="Detractor"/>
  </r>
  <r>
    <s v="L1132"/>
    <x v="2"/>
    <s v="Cold"/>
    <d v="2025-10-24T00:00:00"/>
    <m/>
    <m/>
    <m/>
    <s v="Yes"/>
    <s v="Financing Issue"/>
    <m/>
    <m/>
    <m/>
    <n v="0"/>
    <n v="0"/>
    <s v="Detractor"/>
  </r>
  <r>
    <s v="L1133"/>
    <x v="3"/>
    <s v="Warm"/>
    <d v="2025-10-19T00:00:00"/>
    <d v="2025-10-20T00:00:00"/>
    <d v="2025-10-22T00:00:00"/>
    <d v="2025-10-27T00:00:00"/>
    <s v="No"/>
    <m/>
    <d v="2025-11-20T00:00:00"/>
    <n v="2"/>
    <n v="1"/>
    <n v="2"/>
    <n v="5"/>
    <s v="Detractor"/>
  </r>
  <r>
    <s v="L1134"/>
    <x v="1"/>
    <s v="Cold"/>
    <d v="2025-10-25T00:00:00"/>
    <m/>
    <m/>
    <m/>
    <s v="Yes"/>
    <s v="Model Unavailable"/>
    <m/>
    <m/>
    <m/>
    <n v="0"/>
    <n v="0"/>
    <s v="Detractor"/>
  </r>
  <r>
    <s v="L1135"/>
    <x v="2"/>
    <s v="Warm"/>
    <d v="2025-10-17T00:00:00"/>
    <d v="2025-10-20T00:00:00"/>
    <d v="2025-10-21T00:00:00"/>
    <d v="2025-10-26T00:00:00"/>
    <s v="No"/>
    <m/>
    <d v="2025-11-18T00:00:00"/>
    <n v="3"/>
    <n v="3"/>
    <n v="1"/>
    <n v="5"/>
    <s v="Detractor"/>
  </r>
  <r>
    <s v="L1136"/>
    <x v="1"/>
    <s v="Warm"/>
    <d v="2025-10-20T00:00:00"/>
    <d v="2025-10-24T00:00:00"/>
    <d v="2025-10-29T00:00:00"/>
    <d v="2025-11-05T00:00:00"/>
    <s v="No"/>
    <m/>
    <d v="2025-11-20T00:00:00"/>
    <n v="0"/>
    <n v="4"/>
    <n v="5"/>
    <n v="7"/>
    <s v="Detractor"/>
  </r>
  <r>
    <s v="L1137"/>
    <x v="2"/>
    <s v="Warm"/>
    <d v="2025-10-10T00:00:00"/>
    <d v="2025-10-11T00:00:00"/>
    <d v="2025-10-13T00:00:00"/>
    <d v="2025-10-18T00:00:00"/>
    <s v="Yes"/>
    <s v="Price"/>
    <m/>
    <m/>
    <n v="1"/>
    <n v="2"/>
    <n v="5"/>
    <s v="Detractor"/>
  </r>
  <r>
    <s v="L1138"/>
    <x v="0"/>
    <s v="Cold"/>
    <d v="2025-10-04T00:00:00"/>
    <m/>
    <m/>
    <m/>
    <s v="Yes"/>
    <s v="Model Unavailable"/>
    <m/>
    <m/>
    <m/>
    <n v="0"/>
    <n v="0"/>
    <s v="Detractor"/>
  </r>
  <r>
    <s v="L1139"/>
    <x v="0"/>
    <s v="Warm"/>
    <d v="2025-10-27T00:00:00"/>
    <d v="2025-10-30T00:00:00"/>
    <d v="2025-11-01T00:00:00"/>
    <d v="2025-11-06T00:00:00"/>
    <s v="No"/>
    <m/>
    <d v="2025-11-29T00:00:00"/>
    <n v="5"/>
    <n v="3"/>
    <n v="2"/>
    <n v="5"/>
    <s v="Detractor"/>
  </r>
  <r>
    <s v="L1140"/>
    <x v="0"/>
    <s v="Warm"/>
    <d v="2025-10-07T00:00:00"/>
    <d v="2025-10-12T00:00:00"/>
    <d v="2025-10-13T00:00:00"/>
    <d v="2025-10-16T00:00:00"/>
    <s v="No"/>
    <m/>
    <d v="2025-11-10T00:00:00"/>
    <n v="0"/>
    <n v="5"/>
    <n v="1"/>
    <n v="3"/>
    <s v="Detractor"/>
  </r>
  <r>
    <s v="L1141"/>
    <x v="3"/>
    <s v="Cold"/>
    <d v="2025-10-10T00:00:00"/>
    <m/>
    <m/>
    <m/>
    <s v="Yes"/>
    <s v="Other"/>
    <m/>
    <m/>
    <m/>
    <n v="0"/>
    <n v="0"/>
    <s v="Detractor"/>
  </r>
  <r>
    <s v="L1142"/>
    <x v="1"/>
    <s v="Hot"/>
    <d v="2025-10-08T00:00:00"/>
    <d v="2025-10-12T00:00:00"/>
    <d v="2025-10-13T00:00:00"/>
    <d v="2025-10-15T00:00:00"/>
    <s v="No"/>
    <m/>
    <d v="2025-11-06T00:00:00"/>
    <n v="4"/>
    <n v="4"/>
    <n v="1"/>
    <n v="2"/>
    <s v="Detractor"/>
  </r>
  <r>
    <s v="L1143"/>
    <x v="3"/>
    <s v="Hot"/>
    <d v="2025-10-12T00:00:00"/>
    <d v="2025-10-17T00:00:00"/>
    <d v="2025-10-21T00:00:00"/>
    <d v="2025-10-27T00:00:00"/>
    <s v="No"/>
    <m/>
    <d v="2025-11-17T00:00:00"/>
    <n v="1"/>
    <n v="5"/>
    <n v="4"/>
    <n v="6"/>
    <s v="Detractor"/>
  </r>
  <r>
    <s v="L1144"/>
    <x v="0"/>
    <s v="Hot"/>
    <d v="2025-10-06T00:00:00"/>
    <d v="2025-10-09T00:00:00"/>
    <d v="2025-10-12T00:00:00"/>
    <d v="2025-10-14T00:00:00"/>
    <s v="No"/>
    <m/>
    <d v="2025-11-10T00:00:00"/>
    <n v="6"/>
    <n v="3"/>
    <n v="3"/>
    <n v="2"/>
    <s v="Detractor"/>
  </r>
  <r>
    <s v="L1145"/>
    <x v="1"/>
    <s v="Warm"/>
    <d v="2025-10-10T00:00:00"/>
    <d v="2025-10-11T00:00:00"/>
    <d v="2025-10-15T00:00:00"/>
    <d v="2025-10-18T00:00:00"/>
    <s v="No"/>
    <m/>
    <d v="2025-11-09T00:00:00"/>
    <n v="1"/>
    <n v="1"/>
    <n v="4"/>
    <n v="3"/>
    <s v="Detractor"/>
  </r>
  <r>
    <s v="L1146"/>
    <x v="0"/>
    <s v="Hot"/>
    <d v="2025-10-01T00:00:00"/>
    <d v="2025-10-03T00:00:00"/>
    <d v="2025-10-04T00:00:00"/>
    <d v="2025-10-08T00:00:00"/>
    <s v="No"/>
    <m/>
    <d v="2025-10-21T00:00:00"/>
    <n v="6"/>
    <n v="2"/>
    <n v="1"/>
    <n v="4"/>
    <s v="Detractor"/>
  </r>
  <r>
    <s v="L1147"/>
    <x v="3"/>
    <s v="Cold"/>
    <d v="2025-10-23T00:00:00"/>
    <m/>
    <m/>
    <m/>
    <s v="Yes"/>
    <s v="Changed Mind"/>
    <m/>
    <m/>
    <m/>
    <n v="0"/>
    <n v="0"/>
    <s v="Detractor"/>
  </r>
  <r>
    <s v="L1148"/>
    <x v="3"/>
    <s v="Hot"/>
    <d v="2025-10-18T00:00:00"/>
    <d v="2025-10-22T00:00:00"/>
    <d v="2025-10-24T00:00:00"/>
    <d v="2025-10-26T00:00:00"/>
    <s v="No"/>
    <m/>
    <d v="2025-11-20T00:00:00"/>
    <n v="5"/>
    <n v="4"/>
    <n v="2"/>
    <n v="2"/>
    <s v="Detractor"/>
  </r>
  <r>
    <s v="L1149"/>
    <x v="3"/>
    <s v="Warm"/>
    <d v="2025-10-05T00:00:00"/>
    <d v="2025-10-10T00:00:00"/>
    <d v="2025-10-11T00:00:00"/>
    <d v="2025-10-15T00:00:00"/>
    <s v="No"/>
    <m/>
    <d v="2025-11-12T00:00:00"/>
    <n v="4"/>
    <n v="5"/>
    <n v="1"/>
    <n v="4"/>
    <s v="Detractor"/>
  </r>
  <r>
    <s v="L1150"/>
    <x v="0"/>
    <s v="Hot"/>
    <d v="2025-10-09T00:00:00"/>
    <d v="2025-10-10T00:00:00"/>
    <d v="2025-10-15T00:00:00"/>
    <d v="2025-10-18T00:00:00"/>
    <s v="No"/>
    <m/>
    <d v="2025-11-17T00:00:00"/>
    <n v="2"/>
    <n v="1"/>
    <n v="5"/>
    <n v="3"/>
    <s v="Detractor"/>
  </r>
  <r>
    <s v="L1151"/>
    <x v="1"/>
    <s v="Cold"/>
    <d v="2025-10-02T00:00:00"/>
    <m/>
    <m/>
    <m/>
    <s v="Yes"/>
    <s v="Other"/>
    <m/>
    <m/>
    <m/>
    <n v="0"/>
    <n v="0"/>
    <s v="Detractor"/>
  </r>
  <r>
    <s v="L1152"/>
    <x v="1"/>
    <s v="Cold"/>
    <d v="2025-10-02T00:00:00"/>
    <m/>
    <m/>
    <m/>
    <s v="Yes"/>
    <s v="Changed Mind"/>
    <m/>
    <m/>
    <m/>
    <n v="0"/>
    <n v="0"/>
    <s v="Detractor"/>
  </r>
  <r>
    <s v="L1153"/>
    <x v="0"/>
    <s v="Warm"/>
    <d v="2025-10-18T00:00:00"/>
    <d v="2025-10-19T00:00:00"/>
    <d v="2025-10-21T00:00:00"/>
    <d v="2025-10-27T00:00:00"/>
    <s v="No"/>
    <m/>
    <d v="2025-11-13T00:00:00"/>
    <n v="7"/>
    <n v="1"/>
    <n v="2"/>
    <n v="6"/>
    <s v="Passive"/>
  </r>
  <r>
    <s v="L1154"/>
    <x v="1"/>
    <s v="Cold"/>
    <d v="2025-10-10T00:00:00"/>
    <m/>
    <m/>
    <m/>
    <s v="Yes"/>
    <s v="Other"/>
    <m/>
    <m/>
    <m/>
    <n v="0"/>
    <n v="0"/>
    <s v="Detractor"/>
  </r>
  <r>
    <s v="L1155"/>
    <x v="0"/>
    <s v="Hot"/>
    <d v="2025-10-23T00:00:00"/>
    <d v="2025-10-25T00:00:00"/>
    <d v="2025-10-29T00:00:00"/>
    <d v="2025-11-02T00:00:00"/>
    <s v="No"/>
    <m/>
    <d v="2025-11-17T00:00:00"/>
    <n v="4"/>
    <n v="2"/>
    <n v="4"/>
    <n v="4"/>
    <s v="Detractor"/>
  </r>
  <r>
    <s v="L1156"/>
    <x v="1"/>
    <s v="Cold"/>
    <d v="2025-10-31T00:00:00"/>
    <m/>
    <m/>
    <m/>
    <s v="Yes"/>
    <s v="Financing Issue"/>
    <m/>
    <m/>
    <m/>
    <n v="0"/>
    <n v="0"/>
    <s v="Detractor"/>
  </r>
  <r>
    <s v="L1157"/>
    <x v="2"/>
    <s v="Hot"/>
    <d v="2025-10-05T00:00:00"/>
    <d v="2025-10-08T00:00:00"/>
    <d v="2025-10-12T00:00:00"/>
    <d v="2025-10-15T00:00:00"/>
    <s v="No"/>
    <m/>
    <d v="2025-11-08T00:00:00"/>
    <n v="8"/>
    <n v="3"/>
    <n v="4"/>
    <n v="3"/>
    <s v="Passive"/>
  </r>
  <r>
    <s v="L1158"/>
    <x v="2"/>
    <s v="Cold"/>
    <d v="2025-10-21T00:00:00"/>
    <m/>
    <m/>
    <m/>
    <s v="Yes"/>
    <s v="Model Unavailable"/>
    <m/>
    <m/>
    <m/>
    <n v="0"/>
    <n v="0"/>
    <s v="Detractor"/>
  </r>
  <r>
    <s v="L1159"/>
    <x v="3"/>
    <s v="Hot"/>
    <d v="2025-10-28T00:00:00"/>
    <d v="2025-10-30T00:00:00"/>
    <d v="2025-11-03T00:00:00"/>
    <d v="2025-11-08T00:00:00"/>
    <s v="No"/>
    <m/>
    <d v="2025-11-20T00:00:00"/>
    <n v="5"/>
    <n v="2"/>
    <n v="4"/>
    <n v="5"/>
    <s v="Detractor"/>
  </r>
  <r>
    <s v="L1160"/>
    <x v="2"/>
    <s v="Warm"/>
    <d v="2025-10-25T00:00:00"/>
    <d v="2025-10-27T00:00:00"/>
    <d v="2025-10-29T00:00:00"/>
    <d v="2025-11-04T00:00:00"/>
    <s v="No"/>
    <m/>
    <d v="2025-11-15T00:00:00"/>
    <n v="3"/>
    <n v="2"/>
    <n v="2"/>
    <n v="6"/>
    <s v="Detractor"/>
  </r>
  <r>
    <s v="L1161"/>
    <x v="2"/>
    <s v="Warm"/>
    <d v="2025-10-16T00:00:00"/>
    <d v="2025-10-19T00:00:00"/>
    <d v="2025-10-22T00:00:00"/>
    <d v="2025-10-29T00:00:00"/>
    <s v="No"/>
    <m/>
    <d v="2025-11-17T00:00:00"/>
    <n v="2"/>
    <n v="3"/>
    <n v="3"/>
    <n v="7"/>
    <s v="Detractor"/>
  </r>
  <r>
    <s v="L1162"/>
    <x v="2"/>
    <s v="Hot"/>
    <d v="2025-10-04T00:00:00"/>
    <d v="2025-10-07T00:00:00"/>
    <d v="2025-10-10T00:00:00"/>
    <d v="2025-10-15T00:00:00"/>
    <s v="No"/>
    <m/>
    <d v="2025-10-25T00:00:00"/>
    <n v="7"/>
    <n v="3"/>
    <n v="3"/>
    <n v="5"/>
    <s v="Passive"/>
  </r>
  <r>
    <s v="L1163"/>
    <x v="0"/>
    <s v="Hot"/>
    <d v="2025-10-28T00:00:00"/>
    <d v="2025-10-31T00:00:00"/>
    <d v="2025-11-03T00:00:00"/>
    <d v="2025-11-09T00:00:00"/>
    <s v="No"/>
    <m/>
    <d v="2025-11-29T00:00:00"/>
    <n v="5"/>
    <n v="3"/>
    <n v="3"/>
    <n v="6"/>
    <s v="Detractor"/>
  </r>
  <r>
    <s v="L1164"/>
    <x v="2"/>
    <s v="Hot"/>
    <d v="2025-10-01T00:00:00"/>
    <d v="2025-10-02T00:00:00"/>
    <d v="2025-10-03T00:00:00"/>
    <d v="2025-10-09T00:00:00"/>
    <s v="No"/>
    <m/>
    <d v="2025-10-27T00:00:00"/>
    <n v="6"/>
    <n v="1"/>
    <n v="1"/>
    <n v="6"/>
    <s v="Detractor"/>
  </r>
  <r>
    <s v="L1165"/>
    <x v="2"/>
    <s v="Warm"/>
    <d v="2025-10-19T00:00:00"/>
    <d v="2025-10-20T00:00:00"/>
    <d v="2025-10-21T00:00:00"/>
    <d v="2025-10-23T00:00:00"/>
    <s v="No"/>
    <m/>
    <d v="2025-11-05T00:00:00"/>
    <n v="2"/>
    <n v="1"/>
    <n v="1"/>
    <n v="2"/>
    <s v="Detractor"/>
  </r>
  <r>
    <s v="L1166"/>
    <x v="3"/>
    <s v="Warm"/>
    <d v="2025-10-10T00:00:00"/>
    <d v="2025-10-14T00:00:00"/>
    <d v="2025-10-19T00:00:00"/>
    <d v="2025-10-25T00:00:00"/>
    <s v="Yes"/>
    <s v="Changed Mind"/>
    <m/>
    <m/>
    <n v="4"/>
    <n v="5"/>
    <n v="6"/>
    <s v="Detractor"/>
  </r>
  <r>
    <s v="L1167"/>
    <x v="2"/>
    <s v="Hot"/>
    <d v="2025-10-16T00:00:00"/>
    <d v="2025-10-20T00:00:00"/>
    <d v="2025-10-22T00:00:00"/>
    <d v="2025-10-24T00:00:00"/>
    <s v="Yes"/>
    <s v="Price"/>
    <m/>
    <m/>
    <n v="4"/>
    <n v="2"/>
    <n v="2"/>
    <s v="Detractor"/>
  </r>
  <r>
    <s v="L1168"/>
    <x v="2"/>
    <s v="Warm"/>
    <d v="2025-10-16T00:00:00"/>
    <d v="2025-10-18T00:00:00"/>
    <d v="2025-10-23T00:00:00"/>
    <d v="2025-10-27T00:00:00"/>
    <s v="No"/>
    <m/>
    <d v="2025-11-08T00:00:00"/>
    <n v="5"/>
    <n v="2"/>
    <n v="5"/>
    <n v="4"/>
    <s v="Detractor"/>
  </r>
  <r>
    <s v="L1169"/>
    <x v="1"/>
    <s v="Hot"/>
    <d v="2025-10-15T00:00:00"/>
    <d v="2025-10-17T00:00:00"/>
    <d v="2025-10-18T00:00:00"/>
    <d v="2025-10-24T00:00:00"/>
    <s v="No"/>
    <m/>
    <d v="2025-11-13T00:00:00"/>
    <n v="2"/>
    <n v="2"/>
    <n v="1"/>
    <n v="6"/>
    <s v="Detractor"/>
  </r>
  <r>
    <s v="L1170"/>
    <x v="3"/>
    <s v="Cold"/>
    <d v="2025-10-11T00:00:00"/>
    <m/>
    <m/>
    <m/>
    <s v="Yes"/>
    <s v="Model Unavailable"/>
    <m/>
    <m/>
    <m/>
    <n v="0"/>
    <n v="0"/>
    <s v="Detractor"/>
  </r>
  <r>
    <s v="L1171"/>
    <x v="3"/>
    <s v="Hot"/>
    <d v="2025-10-06T00:00:00"/>
    <d v="2025-10-10T00:00:00"/>
    <d v="2025-10-12T00:00:00"/>
    <d v="2025-10-16T00:00:00"/>
    <s v="No"/>
    <m/>
    <d v="2025-10-31T00:00:00"/>
    <n v="1"/>
    <n v="4"/>
    <n v="2"/>
    <n v="4"/>
    <s v="Detractor"/>
  </r>
  <r>
    <s v="L1172"/>
    <x v="3"/>
    <s v="Hot"/>
    <d v="2025-10-31T00:00:00"/>
    <d v="2025-11-05T00:00:00"/>
    <d v="2025-11-09T00:00:00"/>
    <d v="2025-11-15T00:00:00"/>
    <s v="No"/>
    <m/>
    <d v="2025-12-07T00:00:00"/>
    <n v="8"/>
    <n v="5"/>
    <n v="4"/>
    <n v="6"/>
    <s v="Passive"/>
  </r>
  <r>
    <s v="L1173"/>
    <x v="3"/>
    <s v="Hot"/>
    <d v="2025-10-02T00:00:00"/>
    <d v="2025-10-04T00:00:00"/>
    <d v="2025-10-06T00:00:00"/>
    <d v="2025-10-08T00:00:00"/>
    <s v="No"/>
    <m/>
    <d v="2025-10-23T00:00:00"/>
    <n v="6"/>
    <n v="2"/>
    <n v="2"/>
    <n v="2"/>
    <s v="Detractor"/>
  </r>
  <r>
    <s v="L1174"/>
    <x v="3"/>
    <s v="Warm"/>
    <d v="2025-10-09T00:00:00"/>
    <d v="2025-10-14T00:00:00"/>
    <d v="2025-10-15T00:00:00"/>
    <d v="2025-10-22T00:00:00"/>
    <s v="No"/>
    <m/>
    <d v="2025-11-03T00:00:00"/>
    <n v="6"/>
    <n v="5"/>
    <n v="1"/>
    <n v="7"/>
    <s v="Detractor"/>
  </r>
  <r>
    <s v="L1175"/>
    <x v="3"/>
    <s v="Cold"/>
    <d v="2025-10-31T00:00:00"/>
    <m/>
    <m/>
    <m/>
    <s v="Yes"/>
    <s v="Price"/>
    <m/>
    <m/>
    <m/>
    <n v="0"/>
    <n v="0"/>
    <s v="Detractor"/>
  </r>
  <r>
    <s v="L1176"/>
    <x v="0"/>
    <s v="Warm"/>
    <d v="2025-10-28T00:00:00"/>
    <d v="2025-11-02T00:00:00"/>
    <d v="2025-11-06T00:00:00"/>
    <d v="2025-11-11T00:00:00"/>
    <s v="No"/>
    <m/>
    <d v="2025-12-08T00:00:00"/>
    <n v="3"/>
    <n v="5"/>
    <n v="4"/>
    <n v="5"/>
    <s v="Detractor"/>
  </r>
  <r>
    <s v="L1177"/>
    <x v="2"/>
    <s v="Hot"/>
    <d v="2025-10-16T00:00:00"/>
    <d v="2025-10-19T00:00:00"/>
    <d v="2025-10-23T00:00:00"/>
    <d v="2025-10-29T00:00:00"/>
    <s v="No"/>
    <m/>
    <d v="2025-11-10T00:00:00"/>
    <n v="5"/>
    <n v="3"/>
    <n v="4"/>
    <n v="6"/>
    <s v="Detractor"/>
  </r>
  <r>
    <s v="L1178"/>
    <x v="3"/>
    <s v="Warm"/>
    <d v="2025-10-04T00:00:00"/>
    <d v="2025-10-05T00:00:00"/>
    <d v="2025-10-07T00:00:00"/>
    <d v="2025-10-10T00:00:00"/>
    <s v="No"/>
    <m/>
    <d v="2025-10-30T00:00:00"/>
    <n v="9"/>
    <n v="1"/>
    <n v="2"/>
    <n v="3"/>
    <s v="Promoter"/>
  </r>
  <r>
    <s v="L1179"/>
    <x v="2"/>
    <s v="Warm"/>
    <d v="2025-10-27T00:00:00"/>
    <d v="2025-10-31T00:00:00"/>
    <d v="2025-11-03T00:00:00"/>
    <d v="2025-11-08T00:00:00"/>
    <s v="No"/>
    <m/>
    <d v="2025-12-07T00:00:00"/>
    <n v="4"/>
    <n v="4"/>
    <n v="3"/>
    <n v="5"/>
    <s v="Detractor"/>
  </r>
  <r>
    <s v="L1180"/>
    <x v="2"/>
    <s v="Hot"/>
    <d v="2025-10-03T00:00:00"/>
    <d v="2025-10-04T00:00:00"/>
    <d v="2025-10-05T00:00:00"/>
    <d v="2025-10-07T00:00:00"/>
    <s v="No"/>
    <m/>
    <d v="2025-11-05T00:00:00"/>
    <n v="1"/>
    <n v="1"/>
    <n v="1"/>
    <n v="2"/>
    <s v="Detractor"/>
  </r>
  <r>
    <s v="L1181"/>
    <x v="0"/>
    <s v="Warm"/>
    <d v="2025-10-13T00:00:00"/>
    <d v="2025-10-17T00:00:00"/>
    <d v="2025-10-18T00:00:00"/>
    <d v="2025-10-25T00:00:00"/>
    <s v="No"/>
    <m/>
    <d v="2025-11-19T00:00:00"/>
    <n v="4"/>
    <n v="4"/>
    <n v="1"/>
    <n v="7"/>
    <s v="Detractor"/>
  </r>
  <r>
    <s v="L1182"/>
    <x v="3"/>
    <s v="Cold"/>
    <d v="2025-10-16T00:00:00"/>
    <m/>
    <m/>
    <m/>
    <s v="Yes"/>
    <s v="Model Unavailable"/>
    <m/>
    <m/>
    <m/>
    <n v="0"/>
    <n v="0"/>
    <s v="Detractor"/>
  </r>
  <r>
    <s v="L1183"/>
    <x v="1"/>
    <s v="Hot"/>
    <d v="2025-10-03T00:00:00"/>
    <d v="2025-10-04T00:00:00"/>
    <d v="2025-10-07T00:00:00"/>
    <d v="2025-10-14T00:00:00"/>
    <s v="No"/>
    <m/>
    <d v="2025-10-24T00:00:00"/>
    <n v="6"/>
    <n v="1"/>
    <n v="3"/>
    <n v="7"/>
    <s v="Detractor"/>
  </r>
  <r>
    <s v="L1184"/>
    <x v="0"/>
    <s v="Warm"/>
    <d v="2025-10-19T00:00:00"/>
    <d v="2025-10-23T00:00:00"/>
    <d v="2025-10-28T00:00:00"/>
    <d v="2025-10-31T00:00:00"/>
    <s v="No"/>
    <m/>
    <d v="2025-11-23T00:00:00"/>
    <n v="3"/>
    <n v="4"/>
    <n v="5"/>
    <n v="3"/>
    <s v="Detractor"/>
  </r>
  <r>
    <s v="L1185"/>
    <x v="1"/>
    <s v="Warm"/>
    <d v="2025-10-21T00:00:00"/>
    <d v="2025-10-22T00:00:00"/>
    <d v="2025-10-27T00:00:00"/>
    <d v="2025-10-31T00:00:00"/>
    <s v="No"/>
    <m/>
    <d v="2025-11-30T00:00:00"/>
    <n v="2"/>
    <n v="1"/>
    <n v="5"/>
    <n v="4"/>
    <s v="Detractor"/>
  </r>
  <r>
    <s v="L1186"/>
    <x v="2"/>
    <s v="Warm"/>
    <d v="2025-10-22T00:00:00"/>
    <d v="2025-10-25T00:00:00"/>
    <d v="2025-10-26T00:00:00"/>
    <d v="2025-10-28T00:00:00"/>
    <s v="No"/>
    <m/>
    <d v="2025-11-12T00:00:00"/>
    <n v="3"/>
    <n v="3"/>
    <n v="1"/>
    <n v="2"/>
    <s v="Detractor"/>
  </r>
  <r>
    <s v="L1187"/>
    <x v="2"/>
    <s v="Hot"/>
    <d v="2025-10-02T00:00:00"/>
    <d v="2025-10-07T00:00:00"/>
    <d v="2025-10-10T00:00:00"/>
    <d v="2025-10-15T00:00:00"/>
    <s v="No"/>
    <m/>
    <d v="2025-11-13T00:00:00"/>
    <n v="7"/>
    <n v="5"/>
    <n v="3"/>
    <n v="5"/>
    <s v="Passive"/>
  </r>
  <r>
    <s v="L1188"/>
    <x v="0"/>
    <s v="Hot"/>
    <d v="2025-10-05T00:00:00"/>
    <d v="2025-10-09T00:00:00"/>
    <d v="2025-10-12T00:00:00"/>
    <d v="2025-10-16T00:00:00"/>
    <s v="No"/>
    <m/>
    <d v="2025-11-08T00:00:00"/>
    <n v="9"/>
    <n v="4"/>
    <n v="3"/>
    <n v="4"/>
    <s v="Promoter"/>
  </r>
  <r>
    <s v="L1189"/>
    <x v="0"/>
    <s v="Cold"/>
    <d v="2025-10-05T00:00:00"/>
    <m/>
    <m/>
    <m/>
    <s v="Yes"/>
    <s v="Model Unavailable"/>
    <m/>
    <m/>
    <m/>
    <n v="0"/>
    <n v="0"/>
    <s v="Detractor"/>
  </r>
  <r>
    <s v="L1190"/>
    <x v="1"/>
    <s v="Cold"/>
    <d v="2025-10-26T00:00:00"/>
    <m/>
    <m/>
    <m/>
    <s v="Yes"/>
    <s v="Other"/>
    <m/>
    <m/>
    <m/>
    <n v="0"/>
    <n v="0"/>
    <s v="Detractor"/>
  </r>
  <r>
    <s v="L1191"/>
    <x v="3"/>
    <s v="Warm"/>
    <d v="2025-10-19T00:00:00"/>
    <d v="2025-10-24T00:00:00"/>
    <d v="2025-10-28T00:00:00"/>
    <d v="2025-11-01T00:00:00"/>
    <s v="No"/>
    <m/>
    <d v="2025-11-16T00:00:00"/>
    <n v="10"/>
    <n v="5"/>
    <n v="4"/>
    <n v="4"/>
    <s v="Promoter"/>
  </r>
  <r>
    <s v="L1192"/>
    <x v="1"/>
    <s v="Warm"/>
    <d v="2025-10-31T00:00:00"/>
    <d v="2025-11-04T00:00:00"/>
    <d v="2025-11-09T00:00:00"/>
    <d v="2025-11-11T00:00:00"/>
    <s v="Yes"/>
    <s v="Changed Mind"/>
    <m/>
    <m/>
    <n v="4"/>
    <n v="5"/>
    <n v="2"/>
    <s v="Detractor"/>
  </r>
  <r>
    <s v="L1193"/>
    <x v="0"/>
    <s v="Warm"/>
    <d v="2025-10-10T00:00:00"/>
    <d v="2025-10-14T00:00:00"/>
    <d v="2025-10-19T00:00:00"/>
    <d v="2025-10-24T00:00:00"/>
    <s v="No"/>
    <m/>
    <d v="2025-11-04T00:00:00"/>
    <n v="5"/>
    <n v="4"/>
    <n v="5"/>
    <n v="5"/>
    <s v="Detractor"/>
  </r>
  <r>
    <s v="L1194"/>
    <x v="1"/>
    <s v="Warm"/>
    <d v="2025-10-03T00:00:00"/>
    <d v="2025-10-06T00:00:00"/>
    <d v="2025-10-10T00:00:00"/>
    <d v="2025-10-12T00:00:00"/>
    <s v="No"/>
    <m/>
    <d v="2025-10-25T00:00:00"/>
    <n v="3"/>
    <n v="3"/>
    <n v="4"/>
    <n v="2"/>
    <s v="Detractor"/>
  </r>
  <r>
    <s v="L1195"/>
    <x v="0"/>
    <s v="Warm"/>
    <d v="2025-10-08T00:00:00"/>
    <d v="2025-10-09T00:00:00"/>
    <d v="2025-10-11T00:00:00"/>
    <d v="2025-10-14T00:00:00"/>
    <s v="No"/>
    <m/>
    <d v="2025-11-03T00:00:00"/>
    <n v="9"/>
    <n v="1"/>
    <n v="2"/>
    <n v="3"/>
    <s v="Promoter"/>
  </r>
  <r>
    <s v="L1196"/>
    <x v="1"/>
    <s v="Hot"/>
    <d v="2025-10-04T00:00:00"/>
    <d v="2025-10-08T00:00:00"/>
    <d v="2025-10-13T00:00:00"/>
    <d v="2025-10-16T00:00:00"/>
    <s v="No"/>
    <m/>
    <d v="2025-11-01T00:00:00"/>
    <n v="10"/>
    <n v="4"/>
    <n v="5"/>
    <n v="3"/>
    <s v="Promoter"/>
  </r>
  <r>
    <s v="L1197"/>
    <x v="0"/>
    <s v="Cold"/>
    <d v="2025-10-18T00:00:00"/>
    <m/>
    <m/>
    <m/>
    <s v="Yes"/>
    <s v="Changed Mind"/>
    <m/>
    <m/>
    <m/>
    <n v="0"/>
    <n v="0"/>
    <s v="Detractor"/>
  </r>
  <r>
    <s v="L1198"/>
    <x v="0"/>
    <s v="Warm"/>
    <d v="2025-10-25T00:00:00"/>
    <d v="2025-10-26T00:00:00"/>
    <d v="2025-10-30T00:00:00"/>
    <d v="2025-11-06T00:00:00"/>
    <s v="No"/>
    <m/>
    <d v="2025-11-22T00:00:00"/>
    <n v="8"/>
    <n v="1"/>
    <n v="4"/>
    <n v="7"/>
    <s v="Passive"/>
  </r>
  <r>
    <s v="L1199"/>
    <x v="0"/>
    <s v="Cold"/>
    <d v="2025-10-14T00:00:00"/>
    <m/>
    <m/>
    <m/>
    <s v="Yes"/>
    <s v="Model Unavailable"/>
    <m/>
    <m/>
    <m/>
    <n v="0"/>
    <n v="0"/>
    <s v="Detractor"/>
  </r>
  <r>
    <s v="L1200"/>
    <x v="3"/>
    <s v="Hot"/>
    <d v="2025-10-20T00:00:00"/>
    <d v="2025-10-23T00:00:00"/>
    <d v="2025-10-26T00:00:00"/>
    <d v="2025-11-01T00:00:00"/>
    <s v="No"/>
    <m/>
    <d v="2025-11-24T00:00:00"/>
    <n v="6"/>
    <n v="3"/>
    <n v="3"/>
    <n v="6"/>
    <s v="Detractor"/>
  </r>
  <r>
    <s v="L1201"/>
    <x v="1"/>
    <s v="Hot"/>
    <d v="2025-10-20T00:00:00"/>
    <d v="2025-10-22T00:00:00"/>
    <d v="2025-10-24T00:00:00"/>
    <d v="2025-10-31T00:00:00"/>
    <s v="No"/>
    <m/>
    <d v="2025-11-27T00:00:00"/>
    <n v="2"/>
    <n v="2"/>
    <n v="2"/>
    <n v="7"/>
    <s v="Detractor"/>
  </r>
  <r>
    <s v="L1202"/>
    <x v="1"/>
    <s v="Hot"/>
    <d v="2025-10-26T00:00:00"/>
    <d v="2025-10-31T00:00:00"/>
    <d v="2025-11-01T00:00:00"/>
    <d v="2025-11-05T00:00:00"/>
    <s v="No"/>
    <m/>
    <d v="2025-12-02T00:00:00"/>
    <n v="2"/>
    <n v="5"/>
    <n v="1"/>
    <n v="4"/>
    <s v="Detractor"/>
  </r>
  <r>
    <s v="L1203"/>
    <x v="1"/>
    <s v="Warm"/>
    <d v="2025-10-20T00:00:00"/>
    <d v="2025-10-24T00:00:00"/>
    <d v="2025-10-27T00:00:00"/>
    <d v="2025-11-03T00:00:00"/>
    <s v="No"/>
    <m/>
    <d v="2025-11-21T00:00:00"/>
    <n v="9"/>
    <n v="4"/>
    <n v="3"/>
    <n v="7"/>
    <s v="Promoter"/>
  </r>
  <r>
    <s v="L1204"/>
    <x v="0"/>
    <s v="Cold"/>
    <d v="2025-10-08T00:00:00"/>
    <m/>
    <m/>
    <m/>
    <s v="Yes"/>
    <s v="Financing Issue"/>
    <m/>
    <m/>
    <m/>
    <n v="0"/>
    <n v="0"/>
    <s v="Detractor"/>
  </r>
  <r>
    <s v="L1205"/>
    <x v="1"/>
    <s v="Hot"/>
    <d v="2025-10-25T00:00:00"/>
    <d v="2025-10-28T00:00:00"/>
    <d v="2025-10-30T00:00:00"/>
    <d v="2025-11-05T00:00:00"/>
    <s v="No"/>
    <m/>
    <d v="2025-11-24T00:00:00"/>
    <n v="2"/>
    <n v="3"/>
    <n v="2"/>
    <n v="6"/>
    <s v="Detractor"/>
  </r>
  <r>
    <s v="L1206"/>
    <x v="1"/>
    <s v="Cold"/>
    <d v="2025-10-17T00:00:00"/>
    <m/>
    <m/>
    <m/>
    <s v="Yes"/>
    <s v="Financing Issue"/>
    <m/>
    <m/>
    <m/>
    <n v="0"/>
    <n v="0"/>
    <s v="Detractor"/>
  </r>
  <r>
    <s v="L1207"/>
    <x v="0"/>
    <s v="Warm"/>
    <d v="2025-10-13T00:00:00"/>
    <d v="2025-10-14T00:00:00"/>
    <d v="2025-10-18T00:00:00"/>
    <d v="2025-10-25T00:00:00"/>
    <s v="No"/>
    <m/>
    <d v="2025-11-13T00:00:00"/>
    <n v="7"/>
    <n v="1"/>
    <n v="4"/>
    <n v="7"/>
    <s v="Passive"/>
  </r>
  <r>
    <s v="L1208"/>
    <x v="2"/>
    <s v="Cold"/>
    <d v="2025-10-15T00:00:00"/>
    <m/>
    <m/>
    <m/>
    <s v="Yes"/>
    <s v="Price"/>
    <m/>
    <m/>
    <m/>
    <n v="0"/>
    <n v="0"/>
    <s v="Detractor"/>
  </r>
  <r>
    <s v="L1209"/>
    <x v="0"/>
    <s v="Hot"/>
    <d v="2025-10-30T00:00:00"/>
    <d v="2025-11-03T00:00:00"/>
    <d v="2025-11-06T00:00:00"/>
    <d v="2025-11-11T00:00:00"/>
    <s v="No"/>
    <m/>
    <d v="2025-11-28T00:00:00"/>
    <n v="9"/>
    <n v="4"/>
    <n v="3"/>
    <n v="5"/>
    <s v="Promoter"/>
  </r>
  <r>
    <s v="L1210"/>
    <x v="1"/>
    <s v="Cold"/>
    <d v="2025-10-15T00:00:00"/>
    <m/>
    <m/>
    <m/>
    <s v="Yes"/>
    <s v="Price"/>
    <m/>
    <m/>
    <m/>
    <n v="0"/>
    <n v="0"/>
    <s v="Detractor"/>
  </r>
  <r>
    <s v="L1211"/>
    <x v="0"/>
    <s v="Warm"/>
    <d v="2025-10-10T00:00:00"/>
    <d v="2025-10-11T00:00:00"/>
    <d v="2025-10-13T00:00:00"/>
    <d v="2025-10-16T00:00:00"/>
    <s v="Yes"/>
    <s v="Other"/>
    <m/>
    <m/>
    <n v="1"/>
    <n v="2"/>
    <n v="3"/>
    <s v="Detractor"/>
  </r>
  <r>
    <s v="L1212"/>
    <x v="2"/>
    <s v="Hot"/>
    <d v="2025-10-28T00:00:00"/>
    <d v="2025-10-30T00:00:00"/>
    <d v="2025-10-31T00:00:00"/>
    <d v="2025-11-06T00:00:00"/>
    <s v="No"/>
    <m/>
    <d v="2025-11-19T00:00:00"/>
    <n v="4"/>
    <n v="2"/>
    <n v="1"/>
    <n v="6"/>
    <s v="Detractor"/>
  </r>
  <r>
    <s v="L1213"/>
    <x v="0"/>
    <s v="Hot"/>
    <d v="2025-10-19T00:00:00"/>
    <d v="2025-10-23T00:00:00"/>
    <d v="2025-10-26T00:00:00"/>
    <d v="2025-10-29T00:00:00"/>
    <s v="No"/>
    <m/>
    <d v="2025-11-09T00:00:00"/>
    <n v="2"/>
    <n v="4"/>
    <n v="3"/>
    <n v="3"/>
    <s v="Detractor"/>
  </r>
  <r>
    <s v="L1214"/>
    <x v="1"/>
    <s v="Cold"/>
    <d v="2025-10-14T00:00:00"/>
    <m/>
    <m/>
    <m/>
    <s v="Yes"/>
    <s v="Model Unavailable"/>
    <m/>
    <m/>
    <m/>
    <n v="0"/>
    <n v="0"/>
    <s v="Detractor"/>
  </r>
  <r>
    <s v="L1215"/>
    <x v="2"/>
    <s v="Cold"/>
    <d v="2025-10-10T00:00:00"/>
    <m/>
    <m/>
    <m/>
    <s v="Yes"/>
    <s v="Price"/>
    <m/>
    <m/>
    <m/>
    <n v="0"/>
    <n v="0"/>
    <s v="Detractor"/>
  </r>
  <r>
    <s v="L1216"/>
    <x v="3"/>
    <s v="Hot"/>
    <d v="2025-10-19T00:00:00"/>
    <d v="2025-10-24T00:00:00"/>
    <d v="2025-10-27T00:00:00"/>
    <d v="2025-10-30T00:00:00"/>
    <s v="No"/>
    <m/>
    <d v="2025-11-21T00:00:00"/>
    <n v="0"/>
    <n v="5"/>
    <n v="3"/>
    <n v="3"/>
    <s v="Detractor"/>
  </r>
  <r>
    <s v="L1217"/>
    <x v="1"/>
    <s v="Warm"/>
    <d v="2025-10-20T00:00:00"/>
    <d v="2025-10-24T00:00:00"/>
    <d v="2025-10-29T00:00:00"/>
    <d v="2025-11-01T00:00:00"/>
    <s v="Yes"/>
    <s v="Price"/>
    <m/>
    <m/>
    <n v="4"/>
    <n v="5"/>
    <n v="3"/>
    <s v="Detractor"/>
  </r>
  <r>
    <s v="L1218"/>
    <x v="2"/>
    <s v="Cold"/>
    <d v="2025-10-02T00:00:00"/>
    <m/>
    <m/>
    <m/>
    <s v="Yes"/>
    <s v="Model Unavailable"/>
    <m/>
    <m/>
    <m/>
    <n v="0"/>
    <n v="0"/>
    <s v="Detractor"/>
  </r>
  <r>
    <s v="L1219"/>
    <x v="2"/>
    <s v="Cold"/>
    <d v="2025-10-20T00:00:00"/>
    <m/>
    <m/>
    <m/>
    <s v="Yes"/>
    <s v="Other"/>
    <m/>
    <m/>
    <m/>
    <n v="0"/>
    <n v="0"/>
    <s v="Detractor"/>
  </r>
  <r>
    <s v="L1220"/>
    <x v="3"/>
    <s v="Cold"/>
    <d v="2025-10-31T00:00:00"/>
    <m/>
    <m/>
    <m/>
    <s v="Yes"/>
    <s v="Price"/>
    <m/>
    <m/>
    <m/>
    <n v="0"/>
    <n v="0"/>
    <s v="Detractor"/>
  </r>
  <r>
    <s v="L1221"/>
    <x v="0"/>
    <s v="Warm"/>
    <d v="2025-10-24T00:00:00"/>
    <d v="2025-10-29T00:00:00"/>
    <d v="2025-10-31T00:00:00"/>
    <d v="2025-11-02T00:00:00"/>
    <s v="No"/>
    <m/>
    <d v="2025-11-30T00:00:00"/>
    <n v="3"/>
    <n v="5"/>
    <n v="2"/>
    <n v="2"/>
    <s v="Detractor"/>
  </r>
  <r>
    <s v="L1222"/>
    <x v="0"/>
    <s v="Warm"/>
    <d v="2025-10-04T00:00:00"/>
    <d v="2025-10-05T00:00:00"/>
    <d v="2025-10-07T00:00:00"/>
    <d v="2025-10-13T00:00:00"/>
    <s v="No"/>
    <m/>
    <d v="2025-11-09T00:00:00"/>
    <n v="1"/>
    <n v="1"/>
    <n v="2"/>
    <n v="6"/>
    <s v="Detractor"/>
  </r>
  <r>
    <s v="L1223"/>
    <x v="1"/>
    <s v="Warm"/>
    <d v="2025-10-31T00:00:00"/>
    <d v="2025-11-04T00:00:00"/>
    <d v="2025-11-09T00:00:00"/>
    <d v="2025-11-13T00:00:00"/>
    <s v="No"/>
    <m/>
    <d v="2025-12-08T00:00:00"/>
    <n v="7"/>
    <n v="4"/>
    <n v="5"/>
    <n v="4"/>
    <s v="Passive"/>
  </r>
  <r>
    <s v="L1224"/>
    <x v="3"/>
    <s v="Warm"/>
    <d v="2025-10-25T00:00:00"/>
    <d v="2025-10-28T00:00:00"/>
    <d v="2025-11-01T00:00:00"/>
    <d v="2025-11-07T00:00:00"/>
    <s v="No"/>
    <m/>
    <d v="2025-11-21T00:00:00"/>
    <n v="3"/>
    <n v="3"/>
    <n v="4"/>
    <n v="6"/>
    <s v="Detractor"/>
  </r>
  <r>
    <s v="L1225"/>
    <x v="0"/>
    <s v="Warm"/>
    <d v="2025-10-07T00:00:00"/>
    <d v="2025-10-10T00:00:00"/>
    <d v="2025-10-14T00:00:00"/>
    <d v="2025-10-18T00:00:00"/>
    <s v="Yes"/>
    <s v="Other"/>
    <m/>
    <m/>
    <n v="3"/>
    <n v="4"/>
    <n v="4"/>
    <s v="Detractor"/>
  </r>
  <r>
    <s v="L1226"/>
    <x v="3"/>
    <s v="Warm"/>
    <d v="2025-10-21T00:00:00"/>
    <d v="2025-10-23T00:00:00"/>
    <d v="2025-10-28T00:00:00"/>
    <d v="2025-11-03T00:00:00"/>
    <s v="Yes"/>
    <s v="Changed Mind"/>
    <m/>
    <m/>
    <n v="2"/>
    <n v="5"/>
    <n v="6"/>
    <s v="Detractor"/>
  </r>
  <r>
    <s v="L1227"/>
    <x v="0"/>
    <s v="Hot"/>
    <d v="2025-10-07T00:00:00"/>
    <d v="2025-10-10T00:00:00"/>
    <d v="2025-10-13T00:00:00"/>
    <d v="2025-10-19T00:00:00"/>
    <s v="No"/>
    <m/>
    <d v="2025-10-30T00:00:00"/>
    <n v="4"/>
    <n v="3"/>
    <n v="3"/>
    <n v="6"/>
    <s v="Detractor"/>
  </r>
  <r>
    <s v="L1228"/>
    <x v="2"/>
    <s v="Cold"/>
    <d v="2025-10-09T00:00:00"/>
    <m/>
    <m/>
    <m/>
    <s v="Yes"/>
    <s v="Other"/>
    <m/>
    <m/>
    <m/>
    <n v="0"/>
    <n v="0"/>
    <s v="Detractor"/>
  </r>
  <r>
    <s v="L1229"/>
    <x v="0"/>
    <s v="Warm"/>
    <d v="2025-10-22T00:00:00"/>
    <d v="2025-10-24T00:00:00"/>
    <d v="2025-10-25T00:00:00"/>
    <d v="2025-10-28T00:00:00"/>
    <s v="No"/>
    <m/>
    <d v="2025-11-18T00:00:00"/>
    <n v="2"/>
    <n v="2"/>
    <n v="1"/>
    <n v="3"/>
    <s v="Detractor"/>
  </r>
  <r>
    <s v="L1230"/>
    <x v="3"/>
    <s v="Warm"/>
    <d v="2025-10-03T00:00:00"/>
    <d v="2025-10-04T00:00:00"/>
    <d v="2025-10-08T00:00:00"/>
    <d v="2025-10-12T00:00:00"/>
    <s v="No"/>
    <m/>
    <d v="2025-10-22T00:00:00"/>
    <n v="2"/>
    <n v="1"/>
    <n v="4"/>
    <n v="4"/>
    <s v="Detractor"/>
  </r>
  <r>
    <s v="L1231"/>
    <x v="2"/>
    <s v="Warm"/>
    <d v="2025-10-06T00:00:00"/>
    <d v="2025-10-11T00:00:00"/>
    <d v="2025-10-12T00:00:00"/>
    <d v="2025-10-19T00:00:00"/>
    <s v="No"/>
    <m/>
    <d v="2025-11-11T00:00:00"/>
    <n v="8"/>
    <n v="5"/>
    <n v="1"/>
    <n v="7"/>
    <s v="Passive"/>
  </r>
  <r>
    <s v="L1232"/>
    <x v="2"/>
    <s v="Warm"/>
    <d v="2025-10-08T00:00:00"/>
    <d v="2025-10-09T00:00:00"/>
    <d v="2025-10-11T00:00:00"/>
    <d v="2025-10-15T00:00:00"/>
    <s v="Yes"/>
    <s v="Financing Issue"/>
    <m/>
    <m/>
    <n v="1"/>
    <n v="2"/>
    <n v="4"/>
    <s v="Detractor"/>
  </r>
  <r>
    <s v="L1233"/>
    <x v="2"/>
    <s v="Hot"/>
    <d v="2025-10-06T00:00:00"/>
    <d v="2025-10-11T00:00:00"/>
    <d v="2025-10-13T00:00:00"/>
    <d v="2025-10-17T00:00:00"/>
    <s v="No"/>
    <m/>
    <d v="2025-10-29T00:00:00"/>
    <n v="9"/>
    <n v="5"/>
    <n v="2"/>
    <n v="4"/>
    <s v="Promoter"/>
  </r>
  <r>
    <s v="L1234"/>
    <x v="3"/>
    <s v="Hot"/>
    <d v="2025-10-18T00:00:00"/>
    <d v="2025-10-23T00:00:00"/>
    <d v="2025-10-27T00:00:00"/>
    <d v="2025-11-02T00:00:00"/>
    <s v="No"/>
    <m/>
    <d v="2025-11-21T00:00:00"/>
    <n v="4"/>
    <n v="5"/>
    <n v="4"/>
    <n v="6"/>
    <s v="Detractor"/>
  </r>
  <r>
    <s v="L1235"/>
    <x v="1"/>
    <s v="Hot"/>
    <d v="2025-10-03T00:00:00"/>
    <d v="2025-10-05T00:00:00"/>
    <d v="2025-10-08T00:00:00"/>
    <d v="2025-10-12T00:00:00"/>
    <s v="No"/>
    <m/>
    <d v="2025-11-11T00:00:00"/>
    <n v="7"/>
    <n v="2"/>
    <n v="3"/>
    <n v="4"/>
    <s v="Passive"/>
  </r>
  <r>
    <s v="L1236"/>
    <x v="1"/>
    <s v="Hot"/>
    <d v="2025-10-06T00:00:00"/>
    <d v="2025-10-09T00:00:00"/>
    <d v="2025-10-11T00:00:00"/>
    <d v="2025-10-17T00:00:00"/>
    <s v="No"/>
    <m/>
    <d v="2025-11-15T00:00:00"/>
    <n v="7"/>
    <n v="3"/>
    <n v="2"/>
    <n v="6"/>
    <s v="Passive"/>
  </r>
  <r>
    <s v="L1237"/>
    <x v="1"/>
    <s v="Warm"/>
    <d v="2025-10-01T00:00:00"/>
    <d v="2025-10-04T00:00:00"/>
    <d v="2025-10-05T00:00:00"/>
    <d v="2025-10-12T00:00:00"/>
    <s v="No"/>
    <m/>
    <d v="2025-11-06T00:00:00"/>
    <n v="0"/>
    <n v="3"/>
    <n v="1"/>
    <n v="7"/>
    <s v="Detractor"/>
  </r>
  <r>
    <s v="L1238"/>
    <x v="3"/>
    <s v="Warm"/>
    <d v="2025-10-14T00:00:00"/>
    <d v="2025-10-16T00:00:00"/>
    <d v="2025-10-19T00:00:00"/>
    <d v="2025-10-21T00:00:00"/>
    <s v="No"/>
    <m/>
    <d v="2025-11-06T00:00:00"/>
    <n v="1"/>
    <n v="2"/>
    <n v="3"/>
    <n v="2"/>
    <s v="Detractor"/>
  </r>
  <r>
    <s v="L1239"/>
    <x v="2"/>
    <s v="Hot"/>
    <d v="2025-10-15T00:00:00"/>
    <d v="2025-10-17T00:00:00"/>
    <d v="2025-10-21T00:00:00"/>
    <d v="2025-10-24T00:00:00"/>
    <s v="Yes"/>
    <s v="Financing Issue"/>
    <m/>
    <m/>
    <n v="2"/>
    <n v="4"/>
    <n v="3"/>
    <s v="Detractor"/>
  </r>
  <r>
    <s v="L1240"/>
    <x v="1"/>
    <s v="Warm"/>
    <d v="2025-10-23T00:00:00"/>
    <d v="2025-10-24T00:00:00"/>
    <d v="2025-10-26T00:00:00"/>
    <d v="2025-10-31T00:00:00"/>
    <s v="No"/>
    <m/>
    <d v="2025-11-13T00:00:00"/>
    <n v="9"/>
    <n v="1"/>
    <n v="2"/>
    <n v="5"/>
    <s v="Promoter"/>
  </r>
  <r>
    <s v="L1241"/>
    <x v="3"/>
    <s v="Hot"/>
    <d v="2025-10-20T00:00:00"/>
    <d v="2025-10-22T00:00:00"/>
    <d v="2025-10-26T00:00:00"/>
    <d v="2025-10-28T00:00:00"/>
    <s v="No"/>
    <m/>
    <d v="2025-11-07T00:00:00"/>
    <n v="1"/>
    <n v="2"/>
    <n v="4"/>
    <n v="2"/>
    <s v="Detractor"/>
  </r>
  <r>
    <s v="L1242"/>
    <x v="1"/>
    <s v="Cold"/>
    <d v="2025-10-16T00:00:00"/>
    <m/>
    <m/>
    <m/>
    <s v="Yes"/>
    <s v="Other"/>
    <m/>
    <m/>
    <m/>
    <n v="0"/>
    <n v="0"/>
    <s v="Detractor"/>
  </r>
  <r>
    <s v="L1243"/>
    <x v="0"/>
    <s v="Cold"/>
    <d v="2025-10-10T00:00:00"/>
    <m/>
    <m/>
    <m/>
    <s v="Yes"/>
    <s v="Financing Issue"/>
    <m/>
    <m/>
    <m/>
    <n v="0"/>
    <n v="0"/>
    <s v="Detractor"/>
  </r>
  <r>
    <s v="L1244"/>
    <x v="1"/>
    <s v="Hot"/>
    <d v="2025-10-02T00:00:00"/>
    <d v="2025-10-05T00:00:00"/>
    <d v="2025-10-08T00:00:00"/>
    <d v="2025-10-12T00:00:00"/>
    <s v="No"/>
    <m/>
    <d v="2025-10-28T00:00:00"/>
    <n v="6"/>
    <n v="3"/>
    <n v="3"/>
    <n v="4"/>
    <s v="Detractor"/>
  </r>
  <r>
    <s v="L1245"/>
    <x v="1"/>
    <s v="Warm"/>
    <d v="2025-10-08T00:00:00"/>
    <d v="2025-10-10T00:00:00"/>
    <d v="2025-10-13T00:00:00"/>
    <d v="2025-10-20T00:00:00"/>
    <s v="Yes"/>
    <s v="Changed Mind"/>
    <m/>
    <m/>
    <n v="2"/>
    <n v="3"/>
    <n v="7"/>
    <s v="Detractor"/>
  </r>
  <r>
    <s v="L1246"/>
    <x v="2"/>
    <s v="Hot"/>
    <d v="2025-10-10T00:00:00"/>
    <d v="2025-10-12T00:00:00"/>
    <d v="2025-10-15T00:00:00"/>
    <d v="2025-10-18T00:00:00"/>
    <s v="No"/>
    <m/>
    <d v="2025-11-02T00:00:00"/>
    <n v="6"/>
    <n v="2"/>
    <n v="3"/>
    <n v="3"/>
    <s v="Detractor"/>
  </r>
  <r>
    <s v="L1247"/>
    <x v="3"/>
    <s v="Warm"/>
    <d v="2025-10-23T00:00:00"/>
    <d v="2025-10-28T00:00:00"/>
    <d v="2025-11-02T00:00:00"/>
    <d v="2025-11-09T00:00:00"/>
    <s v="No"/>
    <m/>
    <d v="2025-12-09T00:00:00"/>
    <n v="4"/>
    <n v="5"/>
    <n v="5"/>
    <n v="7"/>
    <s v="Detractor"/>
  </r>
  <r>
    <s v="L1248"/>
    <x v="2"/>
    <s v="Warm"/>
    <d v="2025-10-10T00:00:00"/>
    <d v="2025-10-12T00:00:00"/>
    <d v="2025-10-17T00:00:00"/>
    <d v="2025-10-20T00:00:00"/>
    <s v="No"/>
    <m/>
    <d v="2025-11-08T00:00:00"/>
    <n v="7"/>
    <n v="2"/>
    <n v="5"/>
    <n v="3"/>
    <s v="Passive"/>
  </r>
  <r>
    <s v="L1249"/>
    <x v="2"/>
    <s v="Hot"/>
    <d v="2025-10-23T00:00:00"/>
    <d v="2025-10-24T00:00:00"/>
    <d v="2025-10-25T00:00:00"/>
    <d v="2025-10-28T00:00:00"/>
    <s v="No"/>
    <m/>
    <d v="2025-11-09T00:00:00"/>
    <n v="3"/>
    <n v="1"/>
    <n v="1"/>
    <n v="3"/>
    <s v="Detractor"/>
  </r>
  <r>
    <s v="L1250"/>
    <x v="2"/>
    <s v="Warm"/>
    <d v="2025-10-28T00:00:00"/>
    <d v="2025-10-30T00:00:00"/>
    <d v="2025-11-02T00:00:00"/>
    <d v="2025-11-05T00:00:00"/>
    <s v="No"/>
    <m/>
    <d v="2025-11-30T00:00:00"/>
    <n v="2"/>
    <n v="2"/>
    <n v="3"/>
    <n v="3"/>
    <s v="Detractor"/>
  </r>
  <r>
    <s v="L1251"/>
    <x v="2"/>
    <s v="Hot"/>
    <d v="2025-10-15T00:00:00"/>
    <d v="2025-10-19T00:00:00"/>
    <d v="2025-10-22T00:00:00"/>
    <d v="2025-10-29T00:00:00"/>
    <s v="No"/>
    <m/>
    <d v="2025-11-11T00:00:00"/>
    <n v="6"/>
    <n v="4"/>
    <n v="3"/>
    <n v="7"/>
    <s v="Detractor"/>
  </r>
  <r>
    <s v="L1252"/>
    <x v="2"/>
    <s v="Hot"/>
    <d v="2025-10-03T00:00:00"/>
    <d v="2025-10-07T00:00:00"/>
    <d v="2025-10-09T00:00:00"/>
    <d v="2025-10-13T00:00:00"/>
    <s v="No"/>
    <m/>
    <d v="2025-11-01T00:00:00"/>
    <n v="10"/>
    <n v="4"/>
    <n v="2"/>
    <n v="4"/>
    <s v="Promoter"/>
  </r>
  <r>
    <s v="L1253"/>
    <x v="1"/>
    <s v="Warm"/>
    <d v="2025-10-22T00:00:00"/>
    <d v="2025-10-27T00:00:00"/>
    <d v="2025-10-28T00:00:00"/>
    <d v="2025-10-31T00:00:00"/>
    <s v="No"/>
    <m/>
    <d v="2025-11-22T00:00:00"/>
    <n v="4"/>
    <n v="5"/>
    <n v="1"/>
    <n v="3"/>
    <s v="Detractor"/>
  </r>
  <r>
    <s v="L1254"/>
    <x v="2"/>
    <s v="Warm"/>
    <d v="2025-10-08T00:00:00"/>
    <d v="2025-10-13T00:00:00"/>
    <d v="2025-10-14T00:00:00"/>
    <d v="2025-10-21T00:00:00"/>
    <s v="No"/>
    <m/>
    <d v="2025-11-15T00:00:00"/>
    <n v="5"/>
    <n v="5"/>
    <n v="1"/>
    <n v="7"/>
    <s v="Detractor"/>
  </r>
  <r>
    <s v="L1255"/>
    <x v="2"/>
    <s v="Warm"/>
    <d v="2025-10-30T00:00:00"/>
    <d v="2025-11-03T00:00:00"/>
    <d v="2025-11-07T00:00:00"/>
    <d v="2025-11-12T00:00:00"/>
    <s v="Yes"/>
    <s v="Model Unavailable"/>
    <m/>
    <m/>
    <n v="4"/>
    <n v="4"/>
    <n v="5"/>
    <s v="Detractor"/>
  </r>
  <r>
    <s v="L1256"/>
    <x v="3"/>
    <s v="Warm"/>
    <d v="2025-10-09T00:00:00"/>
    <d v="2025-10-14T00:00:00"/>
    <d v="2025-10-17T00:00:00"/>
    <d v="2025-10-22T00:00:00"/>
    <s v="No"/>
    <m/>
    <d v="2025-11-16T00:00:00"/>
    <n v="3"/>
    <n v="5"/>
    <n v="3"/>
    <n v="5"/>
    <s v="Detractor"/>
  </r>
  <r>
    <s v="L1257"/>
    <x v="0"/>
    <s v="Cold"/>
    <d v="2025-10-26T00:00:00"/>
    <m/>
    <m/>
    <m/>
    <s v="Yes"/>
    <s v="Financing Issue"/>
    <m/>
    <m/>
    <m/>
    <n v="0"/>
    <n v="0"/>
    <s v="Detractor"/>
  </r>
  <r>
    <s v="L1258"/>
    <x v="1"/>
    <s v="Hot"/>
    <d v="2025-10-26T00:00:00"/>
    <d v="2025-10-31T00:00:00"/>
    <d v="2025-11-02T00:00:00"/>
    <d v="2025-11-05T00:00:00"/>
    <s v="Yes"/>
    <s v="Financing Issue"/>
    <m/>
    <m/>
    <n v="5"/>
    <n v="2"/>
    <n v="3"/>
    <s v="Detractor"/>
  </r>
  <r>
    <s v="L1259"/>
    <x v="1"/>
    <s v="Warm"/>
    <d v="2025-10-21T00:00:00"/>
    <d v="2025-10-24T00:00:00"/>
    <d v="2025-10-28T00:00:00"/>
    <d v="2025-11-03T00:00:00"/>
    <s v="No"/>
    <m/>
    <d v="2025-11-21T00:00:00"/>
    <n v="4"/>
    <n v="3"/>
    <n v="4"/>
    <n v="6"/>
    <s v="Detractor"/>
  </r>
  <r>
    <s v="L1260"/>
    <x v="1"/>
    <s v="Warm"/>
    <d v="2025-10-19T00:00:00"/>
    <d v="2025-10-22T00:00:00"/>
    <d v="2025-10-27T00:00:00"/>
    <d v="2025-11-03T00:00:00"/>
    <s v="No"/>
    <m/>
    <d v="2025-11-15T00:00:00"/>
    <n v="2"/>
    <n v="3"/>
    <n v="5"/>
    <n v="7"/>
    <s v="Detractor"/>
  </r>
  <r>
    <s v="L1261"/>
    <x v="2"/>
    <s v="Warm"/>
    <d v="2025-10-22T00:00:00"/>
    <d v="2025-10-24T00:00:00"/>
    <d v="2025-10-27T00:00:00"/>
    <d v="2025-10-31T00:00:00"/>
    <s v="No"/>
    <m/>
    <d v="2025-11-30T00:00:00"/>
    <n v="9"/>
    <n v="2"/>
    <n v="3"/>
    <n v="4"/>
    <s v="Promoter"/>
  </r>
  <r>
    <s v="L1262"/>
    <x v="2"/>
    <s v="Cold"/>
    <d v="2025-10-26T00:00:00"/>
    <m/>
    <m/>
    <m/>
    <s v="Yes"/>
    <s v="Other"/>
    <m/>
    <m/>
    <m/>
    <n v="0"/>
    <n v="0"/>
    <s v="Detractor"/>
  </r>
  <r>
    <s v="L1263"/>
    <x v="2"/>
    <s v="Warm"/>
    <d v="2025-10-30T00:00:00"/>
    <d v="2025-11-03T00:00:00"/>
    <d v="2025-11-04T00:00:00"/>
    <d v="2025-11-11T00:00:00"/>
    <s v="No"/>
    <m/>
    <d v="2025-12-08T00:00:00"/>
    <n v="5"/>
    <n v="4"/>
    <n v="1"/>
    <n v="7"/>
    <s v="Detractor"/>
  </r>
  <r>
    <s v="L1264"/>
    <x v="3"/>
    <s v="Warm"/>
    <d v="2025-10-07T00:00:00"/>
    <d v="2025-10-08T00:00:00"/>
    <d v="2025-10-11T00:00:00"/>
    <d v="2025-10-16T00:00:00"/>
    <s v="No"/>
    <m/>
    <d v="2025-11-07T00:00:00"/>
    <n v="7"/>
    <n v="1"/>
    <n v="3"/>
    <n v="5"/>
    <s v="Passive"/>
  </r>
  <r>
    <s v="L1265"/>
    <x v="0"/>
    <s v="Warm"/>
    <d v="2025-10-14T00:00:00"/>
    <d v="2025-10-18T00:00:00"/>
    <d v="2025-10-21T00:00:00"/>
    <d v="2025-10-26T00:00:00"/>
    <s v="No"/>
    <m/>
    <d v="2025-11-10T00:00:00"/>
    <n v="5"/>
    <n v="4"/>
    <n v="3"/>
    <n v="5"/>
    <s v="Detractor"/>
  </r>
  <r>
    <s v="L1266"/>
    <x v="2"/>
    <s v="Cold"/>
    <d v="2025-10-04T00:00:00"/>
    <m/>
    <m/>
    <m/>
    <s v="Yes"/>
    <s v="Changed Mind"/>
    <m/>
    <m/>
    <m/>
    <n v="0"/>
    <n v="0"/>
    <s v="Detractor"/>
  </r>
  <r>
    <s v="L1267"/>
    <x v="0"/>
    <s v="Cold"/>
    <d v="2025-10-18T00:00:00"/>
    <m/>
    <m/>
    <m/>
    <s v="Yes"/>
    <s v="Model Unavailable"/>
    <m/>
    <m/>
    <m/>
    <n v="0"/>
    <n v="0"/>
    <s v="Detractor"/>
  </r>
  <r>
    <s v="L1268"/>
    <x v="3"/>
    <s v="Warm"/>
    <d v="2025-10-08T00:00:00"/>
    <d v="2025-10-12T00:00:00"/>
    <d v="2025-10-17T00:00:00"/>
    <d v="2025-10-22T00:00:00"/>
    <s v="No"/>
    <m/>
    <d v="2025-11-12T00:00:00"/>
    <n v="6"/>
    <n v="4"/>
    <n v="5"/>
    <n v="5"/>
    <s v="Detractor"/>
  </r>
  <r>
    <s v="L1269"/>
    <x v="1"/>
    <s v="Warm"/>
    <d v="2025-10-21T00:00:00"/>
    <d v="2025-10-24T00:00:00"/>
    <d v="2025-10-26T00:00:00"/>
    <d v="2025-10-28T00:00:00"/>
    <s v="No"/>
    <m/>
    <d v="2025-11-19T00:00:00"/>
    <n v="1"/>
    <n v="3"/>
    <n v="2"/>
    <n v="2"/>
    <s v="Detractor"/>
  </r>
  <r>
    <s v="L1270"/>
    <x v="2"/>
    <s v="Hot"/>
    <d v="2025-10-05T00:00:00"/>
    <d v="2025-10-08T00:00:00"/>
    <d v="2025-10-10T00:00:00"/>
    <d v="2025-10-17T00:00:00"/>
    <s v="No"/>
    <m/>
    <d v="2025-11-07T00:00:00"/>
    <n v="5"/>
    <n v="3"/>
    <n v="2"/>
    <n v="7"/>
    <s v="Detractor"/>
  </r>
  <r>
    <s v="L1271"/>
    <x v="0"/>
    <s v="Hot"/>
    <d v="2025-10-30T00:00:00"/>
    <d v="2025-11-04T00:00:00"/>
    <d v="2025-11-06T00:00:00"/>
    <d v="2025-11-08T00:00:00"/>
    <s v="No"/>
    <m/>
    <d v="2025-11-23T00:00:00"/>
    <n v="6"/>
    <n v="5"/>
    <n v="2"/>
    <n v="2"/>
    <s v="Detractor"/>
  </r>
  <r>
    <s v="L1272"/>
    <x v="0"/>
    <s v="Warm"/>
    <d v="2025-10-09T00:00:00"/>
    <d v="2025-10-10T00:00:00"/>
    <d v="2025-10-14T00:00:00"/>
    <d v="2025-10-19T00:00:00"/>
    <s v="No"/>
    <m/>
    <d v="2025-11-12T00:00:00"/>
    <n v="9"/>
    <n v="1"/>
    <n v="4"/>
    <n v="5"/>
    <s v="Promoter"/>
  </r>
  <r>
    <s v="L1273"/>
    <x v="2"/>
    <s v="Hot"/>
    <d v="2025-10-27T00:00:00"/>
    <d v="2025-10-30T00:00:00"/>
    <d v="2025-11-01T00:00:00"/>
    <d v="2025-11-07T00:00:00"/>
    <s v="No"/>
    <m/>
    <d v="2025-11-18T00:00:00"/>
    <n v="2"/>
    <n v="3"/>
    <n v="2"/>
    <n v="6"/>
    <s v="Detractor"/>
  </r>
  <r>
    <s v="L1274"/>
    <x v="1"/>
    <s v="Warm"/>
    <d v="2025-10-05T00:00:00"/>
    <d v="2025-10-10T00:00:00"/>
    <d v="2025-10-14T00:00:00"/>
    <d v="2025-10-21T00:00:00"/>
    <s v="No"/>
    <m/>
    <d v="2025-11-08T00:00:00"/>
    <n v="3"/>
    <n v="5"/>
    <n v="4"/>
    <n v="7"/>
    <s v="Detractor"/>
  </r>
  <r>
    <s v="L1275"/>
    <x v="1"/>
    <s v="Hot"/>
    <d v="2025-10-03T00:00:00"/>
    <d v="2025-10-04T00:00:00"/>
    <d v="2025-10-09T00:00:00"/>
    <d v="2025-10-13T00:00:00"/>
    <s v="No"/>
    <m/>
    <d v="2025-11-06T00:00:00"/>
    <n v="10"/>
    <n v="1"/>
    <n v="5"/>
    <n v="4"/>
    <s v="Promoter"/>
  </r>
  <r>
    <s v="L1276"/>
    <x v="1"/>
    <s v="Warm"/>
    <d v="2025-10-02T00:00:00"/>
    <d v="2025-10-05T00:00:00"/>
    <d v="2025-10-08T00:00:00"/>
    <d v="2025-10-15T00:00:00"/>
    <s v="No"/>
    <m/>
    <d v="2025-11-08T00:00:00"/>
    <n v="8"/>
    <n v="3"/>
    <n v="3"/>
    <n v="7"/>
    <s v="Passive"/>
  </r>
  <r>
    <s v="L1277"/>
    <x v="3"/>
    <s v="Warm"/>
    <d v="2025-10-06T00:00:00"/>
    <d v="2025-10-10T00:00:00"/>
    <d v="2025-10-14T00:00:00"/>
    <d v="2025-10-18T00:00:00"/>
    <s v="No"/>
    <m/>
    <d v="2025-11-05T00:00:00"/>
    <n v="1"/>
    <n v="4"/>
    <n v="4"/>
    <n v="4"/>
    <s v="Detractor"/>
  </r>
  <r>
    <s v="L1278"/>
    <x v="0"/>
    <s v="Cold"/>
    <d v="2025-10-26T00:00:00"/>
    <m/>
    <m/>
    <m/>
    <s v="Yes"/>
    <s v="Other"/>
    <m/>
    <m/>
    <m/>
    <n v="0"/>
    <n v="0"/>
    <s v="Detractor"/>
  </r>
  <r>
    <s v="L1279"/>
    <x v="0"/>
    <s v="Hot"/>
    <d v="2025-10-10T00:00:00"/>
    <d v="2025-10-14T00:00:00"/>
    <d v="2025-10-19T00:00:00"/>
    <d v="2025-10-24T00:00:00"/>
    <s v="Yes"/>
    <s v="Other"/>
    <m/>
    <m/>
    <n v="4"/>
    <n v="5"/>
    <n v="5"/>
    <s v="Detractor"/>
  </r>
  <r>
    <s v="L1280"/>
    <x v="0"/>
    <s v="Warm"/>
    <d v="2025-10-20T00:00:00"/>
    <d v="2025-10-21T00:00:00"/>
    <d v="2025-10-25T00:00:00"/>
    <d v="2025-10-30T00:00:00"/>
    <s v="No"/>
    <m/>
    <d v="2025-11-16T00:00:00"/>
    <n v="8"/>
    <n v="1"/>
    <n v="4"/>
    <n v="5"/>
    <s v="Passive"/>
  </r>
  <r>
    <s v="L1281"/>
    <x v="3"/>
    <s v="Cold"/>
    <d v="2025-10-24T00:00:00"/>
    <m/>
    <m/>
    <m/>
    <s v="Yes"/>
    <s v="Changed Mind"/>
    <m/>
    <m/>
    <m/>
    <n v="0"/>
    <n v="0"/>
    <s v="Detractor"/>
  </r>
  <r>
    <s v="L1282"/>
    <x v="0"/>
    <s v="Hot"/>
    <d v="2025-10-27T00:00:00"/>
    <d v="2025-10-28T00:00:00"/>
    <d v="2025-11-02T00:00:00"/>
    <d v="2025-11-06T00:00:00"/>
    <s v="Yes"/>
    <s v="Model Unavailable"/>
    <m/>
    <m/>
    <n v="1"/>
    <n v="5"/>
    <n v="4"/>
    <s v="Detractor"/>
  </r>
  <r>
    <s v="L1283"/>
    <x v="3"/>
    <s v="Cold"/>
    <d v="2025-10-19T00:00:00"/>
    <m/>
    <m/>
    <m/>
    <s v="Yes"/>
    <s v="Changed Mind"/>
    <m/>
    <m/>
    <m/>
    <n v="0"/>
    <n v="0"/>
    <s v="Detractor"/>
  </r>
  <r>
    <s v="L1284"/>
    <x v="1"/>
    <s v="Warm"/>
    <d v="2025-10-30T00:00:00"/>
    <d v="2025-11-02T00:00:00"/>
    <d v="2025-11-04T00:00:00"/>
    <d v="2025-11-10T00:00:00"/>
    <s v="No"/>
    <m/>
    <d v="2025-11-28T00:00:00"/>
    <n v="4"/>
    <n v="3"/>
    <n v="2"/>
    <n v="6"/>
    <s v="Detractor"/>
  </r>
  <r>
    <s v="L1285"/>
    <x v="2"/>
    <s v="Warm"/>
    <d v="2025-10-10T00:00:00"/>
    <d v="2025-10-13T00:00:00"/>
    <d v="2025-10-15T00:00:00"/>
    <d v="2025-10-17T00:00:00"/>
    <s v="No"/>
    <m/>
    <d v="2025-11-14T00:00:00"/>
    <n v="9"/>
    <n v="3"/>
    <n v="2"/>
    <n v="2"/>
    <s v="Promoter"/>
  </r>
  <r>
    <s v="L1286"/>
    <x v="0"/>
    <s v="Cold"/>
    <d v="2025-10-15T00:00:00"/>
    <m/>
    <m/>
    <m/>
    <s v="Yes"/>
    <s v="Model Unavailable"/>
    <m/>
    <m/>
    <m/>
    <n v="0"/>
    <n v="0"/>
    <s v="Detractor"/>
  </r>
  <r>
    <s v="L1287"/>
    <x v="0"/>
    <s v="Hot"/>
    <d v="2025-10-04T00:00:00"/>
    <d v="2025-10-05T00:00:00"/>
    <d v="2025-10-10T00:00:00"/>
    <d v="2025-10-17T00:00:00"/>
    <s v="No"/>
    <m/>
    <d v="2025-10-28T00:00:00"/>
    <n v="2"/>
    <n v="1"/>
    <n v="5"/>
    <n v="7"/>
    <s v="Detractor"/>
  </r>
  <r>
    <s v="L1288"/>
    <x v="1"/>
    <s v="Warm"/>
    <d v="2025-10-15T00:00:00"/>
    <d v="2025-10-16T00:00:00"/>
    <d v="2025-10-17T00:00:00"/>
    <d v="2025-10-19T00:00:00"/>
    <s v="Yes"/>
    <s v="Changed Mind"/>
    <m/>
    <m/>
    <n v="1"/>
    <n v="1"/>
    <n v="2"/>
    <s v="Detractor"/>
  </r>
  <r>
    <s v="L1289"/>
    <x v="2"/>
    <s v="Cold"/>
    <d v="2025-10-23T00:00:00"/>
    <m/>
    <m/>
    <m/>
    <s v="Yes"/>
    <s v="Other"/>
    <m/>
    <m/>
    <m/>
    <n v="0"/>
    <n v="0"/>
    <s v="Detractor"/>
  </r>
  <r>
    <s v="L1290"/>
    <x v="3"/>
    <s v="Hot"/>
    <d v="2025-10-10T00:00:00"/>
    <d v="2025-10-15T00:00:00"/>
    <d v="2025-10-20T00:00:00"/>
    <d v="2025-10-27T00:00:00"/>
    <s v="No"/>
    <m/>
    <d v="2025-11-10T00:00:00"/>
    <n v="4"/>
    <n v="5"/>
    <n v="5"/>
    <n v="7"/>
    <s v="Detractor"/>
  </r>
  <r>
    <s v="L1291"/>
    <x v="2"/>
    <s v="Warm"/>
    <d v="2025-10-23T00:00:00"/>
    <d v="2025-10-28T00:00:00"/>
    <d v="2025-11-01T00:00:00"/>
    <d v="2025-11-06T00:00:00"/>
    <s v="No"/>
    <m/>
    <d v="2025-11-19T00:00:00"/>
    <n v="1"/>
    <n v="5"/>
    <n v="4"/>
    <n v="5"/>
    <s v="Detractor"/>
  </r>
  <r>
    <s v="L1292"/>
    <x v="1"/>
    <s v="Cold"/>
    <d v="2025-10-13T00:00:00"/>
    <m/>
    <m/>
    <m/>
    <s v="Yes"/>
    <s v="Other"/>
    <m/>
    <m/>
    <m/>
    <n v="0"/>
    <n v="0"/>
    <s v="Detractor"/>
  </r>
  <r>
    <s v="L1293"/>
    <x v="1"/>
    <s v="Hot"/>
    <d v="2025-10-31T00:00:00"/>
    <d v="2025-11-05T00:00:00"/>
    <d v="2025-11-10T00:00:00"/>
    <d v="2025-11-17T00:00:00"/>
    <s v="No"/>
    <m/>
    <d v="2025-11-29T00:00:00"/>
    <n v="6"/>
    <n v="5"/>
    <n v="5"/>
    <n v="7"/>
    <s v="Detractor"/>
  </r>
  <r>
    <s v="L1294"/>
    <x v="2"/>
    <s v="Cold"/>
    <d v="2025-10-09T00:00:00"/>
    <m/>
    <m/>
    <m/>
    <s v="Yes"/>
    <s v="Price"/>
    <m/>
    <m/>
    <m/>
    <n v="0"/>
    <n v="0"/>
    <s v="Detractor"/>
  </r>
  <r>
    <s v="L1295"/>
    <x v="3"/>
    <s v="Warm"/>
    <d v="2025-10-17T00:00:00"/>
    <d v="2025-10-21T00:00:00"/>
    <d v="2025-10-24T00:00:00"/>
    <d v="2025-10-31T00:00:00"/>
    <s v="Yes"/>
    <s v="Financing Issue"/>
    <m/>
    <m/>
    <n v="4"/>
    <n v="3"/>
    <n v="7"/>
    <s v="Detractor"/>
  </r>
  <r>
    <s v="L1296"/>
    <x v="3"/>
    <s v="Warm"/>
    <d v="2025-10-18T00:00:00"/>
    <d v="2025-10-22T00:00:00"/>
    <d v="2025-10-23T00:00:00"/>
    <d v="2025-10-30T00:00:00"/>
    <s v="No"/>
    <m/>
    <d v="2025-11-20T00:00:00"/>
    <n v="6"/>
    <n v="4"/>
    <n v="1"/>
    <n v="7"/>
    <s v="Detractor"/>
  </r>
  <r>
    <s v="L1297"/>
    <x v="0"/>
    <s v="Warm"/>
    <d v="2025-10-16T00:00:00"/>
    <d v="2025-10-21T00:00:00"/>
    <d v="2025-10-26T00:00:00"/>
    <d v="2025-10-30T00:00:00"/>
    <s v="No"/>
    <m/>
    <d v="2025-11-26T00:00:00"/>
    <n v="10"/>
    <n v="5"/>
    <n v="5"/>
    <n v="4"/>
    <s v="Promoter"/>
  </r>
  <r>
    <s v="L1298"/>
    <x v="3"/>
    <s v="Hot"/>
    <d v="2025-10-15T00:00:00"/>
    <d v="2025-10-20T00:00:00"/>
    <d v="2025-10-21T00:00:00"/>
    <d v="2025-10-23T00:00:00"/>
    <s v="No"/>
    <m/>
    <d v="2025-11-15T00:00:00"/>
    <n v="10"/>
    <n v="5"/>
    <n v="1"/>
    <n v="2"/>
    <s v="Promoter"/>
  </r>
  <r>
    <s v="L1299"/>
    <x v="2"/>
    <s v="Cold"/>
    <d v="2025-10-03T00:00:00"/>
    <m/>
    <m/>
    <m/>
    <s v="Yes"/>
    <s v="Changed Mind"/>
    <m/>
    <m/>
    <m/>
    <n v="0"/>
    <n v="0"/>
    <s v="Detractor"/>
  </r>
  <r>
    <s v="L1300"/>
    <x v="1"/>
    <s v="Cold"/>
    <d v="2025-10-20T00:00:00"/>
    <m/>
    <m/>
    <m/>
    <s v="Yes"/>
    <s v="Price"/>
    <m/>
    <m/>
    <m/>
    <n v="0"/>
    <n v="0"/>
    <s v="Detractor"/>
  </r>
  <r>
    <s v="L1301"/>
    <x v="0"/>
    <s v="Warm"/>
    <d v="2025-10-02T00:00:00"/>
    <d v="2025-10-03T00:00:00"/>
    <d v="2025-10-04T00:00:00"/>
    <d v="2025-10-10T00:00:00"/>
    <s v="No"/>
    <m/>
    <d v="2025-11-07T00:00:00"/>
    <n v="8"/>
    <n v="1"/>
    <n v="1"/>
    <n v="6"/>
    <s v="Passive"/>
  </r>
  <r>
    <s v="L1302"/>
    <x v="0"/>
    <s v="Warm"/>
    <d v="2025-10-29T00:00:00"/>
    <d v="2025-11-02T00:00:00"/>
    <d v="2025-11-07T00:00:00"/>
    <d v="2025-11-12T00:00:00"/>
    <s v="No"/>
    <m/>
    <d v="2025-11-29T00:00:00"/>
    <n v="5"/>
    <n v="4"/>
    <n v="5"/>
    <n v="5"/>
    <s v="Detractor"/>
  </r>
  <r>
    <s v="L1303"/>
    <x v="1"/>
    <s v="Warm"/>
    <d v="2025-10-14T00:00:00"/>
    <d v="2025-10-19T00:00:00"/>
    <d v="2025-10-24T00:00:00"/>
    <d v="2025-10-27T00:00:00"/>
    <s v="No"/>
    <m/>
    <d v="2025-11-23T00:00:00"/>
    <n v="6"/>
    <n v="5"/>
    <n v="5"/>
    <n v="3"/>
    <s v="Detractor"/>
  </r>
  <r>
    <s v="L1304"/>
    <x v="3"/>
    <s v="Warm"/>
    <d v="2025-10-24T00:00:00"/>
    <d v="2025-10-26T00:00:00"/>
    <d v="2025-10-28T00:00:00"/>
    <d v="2025-11-02T00:00:00"/>
    <s v="No"/>
    <m/>
    <d v="2025-11-13T00:00:00"/>
    <n v="1"/>
    <n v="2"/>
    <n v="2"/>
    <n v="5"/>
    <s v="Detractor"/>
  </r>
  <r>
    <s v="L1305"/>
    <x v="1"/>
    <s v="Warm"/>
    <d v="2025-10-11T00:00:00"/>
    <d v="2025-10-14T00:00:00"/>
    <d v="2025-10-19T00:00:00"/>
    <d v="2025-10-22T00:00:00"/>
    <s v="No"/>
    <m/>
    <d v="2025-11-13T00:00:00"/>
    <n v="1"/>
    <n v="3"/>
    <n v="5"/>
    <n v="3"/>
    <s v="Detractor"/>
  </r>
  <r>
    <s v="L1306"/>
    <x v="3"/>
    <s v="Warm"/>
    <d v="2025-10-20T00:00:00"/>
    <d v="2025-10-25T00:00:00"/>
    <d v="2025-10-30T00:00:00"/>
    <d v="2025-11-04T00:00:00"/>
    <s v="No"/>
    <m/>
    <d v="2025-11-30T00:00:00"/>
    <n v="8"/>
    <n v="5"/>
    <n v="5"/>
    <n v="5"/>
    <s v="Passive"/>
  </r>
  <r>
    <s v="L1307"/>
    <x v="1"/>
    <s v="Warm"/>
    <d v="2025-10-09T00:00:00"/>
    <d v="2025-10-13T00:00:00"/>
    <d v="2025-10-15T00:00:00"/>
    <d v="2025-10-19T00:00:00"/>
    <s v="No"/>
    <m/>
    <d v="2025-11-11T00:00:00"/>
    <n v="9"/>
    <n v="4"/>
    <n v="2"/>
    <n v="4"/>
    <s v="Promoter"/>
  </r>
  <r>
    <s v="L1308"/>
    <x v="2"/>
    <s v="Warm"/>
    <d v="2025-10-01T00:00:00"/>
    <d v="2025-10-06T00:00:00"/>
    <d v="2025-10-08T00:00:00"/>
    <d v="2025-10-12T00:00:00"/>
    <s v="No"/>
    <m/>
    <d v="2025-11-08T00:00:00"/>
    <n v="6"/>
    <n v="5"/>
    <n v="2"/>
    <n v="4"/>
    <s v="Detractor"/>
  </r>
  <r>
    <s v="L1309"/>
    <x v="3"/>
    <s v="Warm"/>
    <d v="2025-10-03T00:00:00"/>
    <d v="2025-10-05T00:00:00"/>
    <d v="2025-10-08T00:00:00"/>
    <d v="2025-10-12T00:00:00"/>
    <s v="No"/>
    <m/>
    <d v="2025-11-06T00:00:00"/>
    <n v="5"/>
    <n v="2"/>
    <n v="3"/>
    <n v="4"/>
    <s v="Detractor"/>
  </r>
  <r>
    <s v="L1310"/>
    <x v="2"/>
    <s v="Hot"/>
    <d v="2025-10-08T00:00:00"/>
    <d v="2025-10-09T00:00:00"/>
    <d v="2025-10-14T00:00:00"/>
    <d v="2025-10-18T00:00:00"/>
    <s v="No"/>
    <m/>
    <d v="2025-11-15T00:00:00"/>
    <n v="3"/>
    <n v="1"/>
    <n v="5"/>
    <n v="4"/>
    <s v="Detractor"/>
  </r>
  <r>
    <s v="L1311"/>
    <x v="0"/>
    <s v="Hot"/>
    <d v="2025-10-31T00:00:00"/>
    <d v="2025-11-04T00:00:00"/>
    <d v="2025-11-08T00:00:00"/>
    <d v="2025-11-14T00:00:00"/>
    <s v="No"/>
    <m/>
    <d v="2025-12-01T00:00:00"/>
    <n v="6"/>
    <n v="4"/>
    <n v="4"/>
    <n v="6"/>
    <s v="Detractor"/>
  </r>
  <r>
    <s v="L1312"/>
    <x v="1"/>
    <s v="Warm"/>
    <d v="2025-10-22T00:00:00"/>
    <d v="2025-10-23T00:00:00"/>
    <d v="2025-10-24T00:00:00"/>
    <d v="2025-10-30T00:00:00"/>
    <s v="No"/>
    <m/>
    <d v="2025-11-24T00:00:00"/>
    <n v="6"/>
    <n v="1"/>
    <n v="1"/>
    <n v="6"/>
    <s v="Detractor"/>
  </r>
  <r>
    <s v="L1313"/>
    <x v="0"/>
    <s v="Warm"/>
    <d v="2025-10-27T00:00:00"/>
    <d v="2025-10-30T00:00:00"/>
    <d v="2025-11-01T00:00:00"/>
    <d v="2025-11-04T00:00:00"/>
    <s v="No"/>
    <m/>
    <d v="2025-11-23T00:00:00"/>
    <n v="6"/>
    <n v="3"/>
    <n v="2"/>
    <n v="3"/>
    <s v="Detractor"/>
  </r>
  <r>
    <s v="L1314"/>
    <x v="0"/>
    <s v="Warm"/>
    <d v="2025-10-28T00:00:00"/>
    <d v="2025-10-29T00:00:00"/>
    <d v="2025-11-03T00:00:00"/>
    <d v="2025-11-09T00:00:00"/>
    <s v="No"/>
    <m/>
    <d v="2025-11-21T00:00:00"/>
    <n v="4"/>
    <n v="1"/>
    <n v="5"/>
    <n v="6"/>
    <s v="Detractor"/>
  </r>
  <r>
    <s v="L1315"/>
    <x v="0"/>
    <s v="Warm"/>
    <d v="2025-10-19T00:00:00"/>
    <d v="2025-10-24T00:00:00"/>
    <d v="2025-10-28T00:00:00"/>
    <d v="2025-11-02T00:00:00"/>
    <s v="No"/>
    <m/>
    <d v="2025-11-24T00:00:00"/>
    <n v="5"/>
    <n v="5"/>
    <n v="4"/>
    <n v="5"/>
    <s v="Detractor"/>
  </r>
  <r>
    <s v="L1316"/>
    <x v="0"/>
    <s v="Warm"/>
    <d v="2025-10-19T00:00:00"/>
    <d v="2025-10-21T00:00:00"/>
    <d v="2025-10-22T00:00:00"/>
    <d v="2025-10-26T00:00:00"/>
    <s v="No"/>
    <m/>
    <d v="2025-11-06T00:00:00"/>
    <n v="9"/>
    <n v="2"/>
    <n v="1"/>
    <n v="4"/>
    <s v="Promoter"/>
  </r>
  <r>
    <s v="L1317"/>
    <x v="1"/>
    <s v="Warm"/>
    <d v="2025-10-31T00:00:00"/>
    <d v="2025-11-01T00:00:00"/>
    <d v="2025-11-06T00:00:00"/>
    <d v="2025-11-13T00:00:00"/>
    <s v="Yes"/>
    <s v="Financing Issue"/>
    <m/>
    <m/>
    <n v="1"/>
    <n v="5"/>
    <n v="7"/>
    <s v="Detractor"/>
  </r>
  <r>
    <s v="L1318"/>
    <x v="0"/>
    <s v="Warm"/>
    <d v="2025-10-01T00:00:00"/>
    <d v="2025-10-03T00:00:00"/>
    <d v="2025-10-07T00:00:00"/>
    <d v="2025-10-09T00:00:00"/>
    <s v="No"/>
    <m/>
    <d v="2025-11-04T00:00:00"/>
    <n v="6"/>
    <n v="2"/>
    <n v="4"/>
    <n v="2"/>
    <s v="Detractor"/>
  </r>
  <r>
    <s v="L1319"/>
    <x v="1"/>
    <s v="Warm"/>
    <d v="2025-10-25T00:00:00"/>
    <d v="2025-10-29T00:00:00"/>
    <d v="2025-10-30T00:00:00"/>
    <d v="2025-11-01T00:00:00"/>
    <s v="Yes"/>
    <s v="Changed Mind"/>
    <m/>
    <m/>
    <n v="4"/>
    <n v="1"/>
    <n v="2"/>
    <s v="Detractor"/>
  </r>
  <r>
    <s v="L1320"/>
    <x v="1"/>
    <s v="Warm"/>
    <d v="2025-10-22T00:00:00"/>
    <d v="2025-10-26T00:00:00"/>
    <d v="2025-10-30T00:00:00"/>
    <d v="2025-11-01T00:00:00"/>
    <s v="No"/>
    <m/>
    <d v="2025-11-29T00:00:00"/>
    <n v="4"/>
    <n v="4"/>
    <n v="4"/>
    <n v="2"/>
    <s v="Detractor"/>
  </r>
  <r>
    <s v="L1321"/>
    <x v="2"/>
    <s v="Cold"/>
    <d v="2025-10-27T00:00:00"/>
    <m/>
    <m/>
    <m/>
    <s v="Yes"/>
    <s v="Model Unavailable"/>
    <m/>
    <m/>
    <m/>
    <n v="0"/>
    <n v="0"/>
    <s v="Detractor"/>
  </r>
  <r>
    <s v="L1322"/>
    <x v="3"/>
    <s v="Warm"/>
    <d v="2025-10-09T00:00:00"/>
    <d v="2025-10-14T00:00:00"/>
    <d v="2025-10-16T00:00:00"/>
    <d v="2025-10-23T00:00:00"/>
    <s v="Yes"/>
    <s v="Financing Issue"/>
    <m/>
    <m/>
    <n v="5"/>
    <n v="2"/>
    <n v="7"/>
    <s v="Detractor"/>
  </r>
  <r>
    <s v="L1323"/>
    <x v="3"/>
    <s v="Hot"/>
    <d v="2025-10-19T00:00:00"/>
    <d v="2025-10-24T00:00:00"/>
    <d v="2025-10-29T00:00:00"/>
    <d v="2025-11-03T00:00:00"/>
    <s v="No"/>
    <m/>
    <d v="2025-11-29T00:00:00"/>
    <n v="2"/>
    <n v="5"/>
    <n v="5"/>
    <n v="5"/>
    <s v="Detractor"/>
  </r>
  <r>
    <s v="L1324"/>
    <x v="1"/>
    <s v="Hot"/>
    <d v="2025-10-02T00:00:00"/>
    <d v="2025-10-07T00:00:00"/>
    <d v="2025-10-11T00:00:00"/>
    <d v="2025-10-13T00:00:00"/>
    <s v="Yes"/>
    <s v="Other"/>
    <m/>
    <m/>
    <n v="5"/>
    <n v="4"/>
    <n v="2"/>
    <s v="Detractor"/>
  </r>
  <r>
    <s v="L1325"/>
    <x v="2"/>
    <s v="Hot"/>
    <d v="2025-10-25T00:00:00"/>
    <d v="2025-10-27T00:00:00"/>
    <d v="2025-10-31T00:00:00"/>
    <d v="2025-11-02T00:00:00"/>
    <s v="No"/>
    <m/>
    <d v="2025-11-30T00:00:00"/>
    <n v="10"/>
    <n v="2"/>
    <n v="4"/>
    <n v="2"/>
    <s v="Promoter"/>
  </r>
  <r>
    <s v="L1326"/>
    <x v="1"/>
    <s v="Warm"/>
    <d v="2025-10-25T00:00:00"/>
    <d v="2025-10-28T00:00:00"/>
    <d v="2025-11-02T00:00:00"/>
    <d v="2025-11-05T00:00:00"/>
    <s v="No"/>
    <m/>
    <d v="2025-12-04T00:00:00"/>
    <n v="6"/>
    <n v="3"/>
    <n v="5"/>
    <n v="3"/>
    <s v="Detractor"/>
  </r>
  <r>
    <s v="L1327"/>
    <x v="1"/>
    <s v="Warm"/>
    <d v="2025-10-06T00:00:00"/>
    <d v="2025-10-09T00:00:00"/>
    <d v="2025-10-10T00:00:00"/>
    <d v="2025-10-15T00:00:00"/>
    <s v="No"/>
    <m/>
    <d v="2025-10-29T00:00:00"/>
    <n v="7"/>
    <n v="3"/>
    <n v="1"/>
    <n v="5"/>
    <s v="Passive"/>
  </r>
  <r>
    <s v="L1328"/>
    <x v="1"/>
    <s v="Warm"/>
    <d v="2025-10-16T00:00:00"/>
    <d v="2025-10-19T00:00:00"/>
    <d v="2025-10-24T00:00:00"/>
    <d v="2025-10-29T00:00:00"/>
    <s v="No"/>
    <m/>
    <d v="2025-11-11T00:00:00"/>
    <n v="3"/>
    <n v="3"/>
    <n v="5"/>
    <n v="5"/>
    <s v="Detractor"/>
  </r>
  <r>
    <s v="L1329"/>
    <x v="2"/>
    <s v="Warm"/>
    <d v="2025-10-17T00:00:00"/>
    <d v="2025-10-21T00:00:00"/>
    <d v="2025-10-25T00:00:00"/>
    <d v="2025-10-27T00:00:00"/>
    <s v="No"/>
    <m/>
    <d v="2025-11-20T00:00:00"/>
    <n v="2"/>
    <n v="4"/>
    <n v="4"/>
    <n v="2"/>
    <s v="Detractor"/>
  </r>
  <r>
    <s v="L1330"/>
    <x v="3"/>
    <s v="Hot"/>
    <d v="2025-10-21T00:00:00"/>
    <d v="2025-10-25T00:00:00"/>
    <d v="2025-10-28T00:00:00"/>
    <d v="2025-11-02T00:00:00"/>
    <s v="No"/>
    <m/>
    <d v="2025-11-17T00:00:00"/>
    <n v="1"/>
    <n v="4"/>
    <n v="3"/>
    <n v="5"/>
    <s v="Detractor"/>
  </r>
  <r>
    <s v="L1331"/>
    <x v="2"/>
    <s v="Warm"/>
    <d v="2025-10-15T00:00:00"/>
    <d v="2025-10-18T00:00:00"/>
    <d v="2025-10-19T00:00:00"/>
    <d v="2025-10-22T00:00:00"/>
    <s v="No"/>
    <m/>
    <d v="2025-11-06T00:00:00"/>
    <n v="0"/>
    <n v="3"/>
    <n v="1"/>
    <n v="3"/>
    <s v="Detractor"/>
  </r>
  <r>
    <s v="L1332"/>
    <x v="0"/>
    <s v="Hot"/>
    <d v="2025-10-30T00:00:00"/>
    <d v="2025-11-04T00:00:00"/>
    <d v="2025-11-08T00:00:00"/>
    <d v="2025-11-15T00:00:00"/>
    <s v="No"/>
    <m/>
    <d v="2025-12-01T00:00:00"/>
    <n v="2"/>
    <n v="5"/>
    <n v="4"/>
    <n v="7"/>
    <s v="Detractor"/>
  </r>
  <r>
    <s v="L1333"/>
    <x v="2"/>
    <s v="Warm"/>
    <d v="2025-10-09T00:00:00"/>
    <d v="2025-10-10T00:00:00"/>
    <d v="2025-10-13T00:00:00"/>
    <d v="2025-10-16T00:00:00"/>
    <s v="No"/>
    <m/>
    <d v="2025-11-01T00:00:00"/>
    <n v="2"/>
    <n v="1"/>
    <n v="3"/>
    <n v="3"/>
    <s v="Detractor"/>
  </r>
  <r>
    <s v="L1334"/>
    <x v="2"/>
    <s v="Hot"/>
    <d v="2025-10-06T00:00:00"/>
    <d v="2025-10-09T00:00:00"/>
    <d v="2025-10-10T00:00:00"/>
    <d v="2025-10-17T00:00:00"/>
    <s v="No"/>
    <m/>
    <d v="2025-10-31T00:00:00"/>
    <n v="1"/>
    <n v="3"/>
    <n v="1"/>
    <n v="7"/>
    <s v="Detractor"/>
  </r>
  <r>
    <s v="L1335"/>
    <x v="2"/>
    <s v="Cold"/>
    <d v="2025-10-19T00:00:00"/>
    <m/>
    <m/>
    <m/>
    <s v="Yes"/>
    <s v="Price"/>
    <m/>
    <m/>
    <m/>
    <n v="0"/>
    <n v="0"/>
    <s v="Detractor"/>
  </r>
  <r>
    <s v="L1336"/>
    <x v="2"/>
    <s v="Hot"/>
    <d v="2025-10-14T00:00:00"/>
    <d v="2025-10-15T00:00:00"/>
    <d v="2025-10-17T00:00:00"/>
    <d v="2025-10-21T00:00:00"/>
    <s v="No"/>
    <m/>
    <d v="2025-11-01T00:00:00"/>
    <n v="7"/>
    <n v="1"/>
    <n v="2"/>
    <n v="4"/>
    <s v="Passive"/>
  </r>
  <r>
    <s v="L1337"/>
    <x v="3"/>
    <s v="Cold"/>
    <d v="2025-10-21T00:00:00"/>
    <m/>
    <m/>
    <m/>
    <s v="Yes"/>
    <s v="Financing Issue"/>
    <m/>
    <m/>
    <m/>
    <n v="0"/>
    <n v="0"/>
    <s v="Detractor"/>
  </r>
  <r>
    <s v="L1338"/>
    <x v="0"/>
    <s v="Warm"/>
    <d v="2025-10-27T00:00:00"/>
    <d v="2025-10-30T00:00:00"/>
    <d v="2025-11-04T00:00:00"/>
    <d v="2025-11-07T00:00:00"/>
    <s v="No"/>
    <m/>
    <d v="2025-11-30T00:00:00"/>
    <n v="3"/>
    <n v="3"/>
    <n v="5"/>
    <n v="3"/>
    <s v="Detractor"/>
  </r>
  <r>
    <s v="L1339"/>
    <x v="3"/>
    <s v="Cold"/>
    <d v="2025-10-16T00:00:00"/>
    <m/>
    <m/>
    <m/>
    <s v="Yes"/>
    <s v="Financing Issue"/>
    <m/>
    <m/>
    <m/>
    <n v="0"/>
    <n v="0"/>
    <s v="Detractor"/>
  </r>
  <r>
    <s v="L1340"/>
    <x v="3"/>
    <s v="Warm"/>
    <d v="2025-10-03T00:00:00"/>
    <d v="2025-10-04T00:00:00"/>
    <d v="2025-10-05T00:00:00"/>
    <d v="2025-10-09T00:00:00"/>
    <s v="No"/>
    <m/>
    <d v="2025-10-21T00:00:00"/>
    <n v="10"/>
    <n v="1"/>
    <n v="1"/>
    <n v="4"/>
    <s v="Promoter"/>
  </r>
  <r>
    <s v="L1341"/>
    <x v="2"/>
    <s v="Warm"/>
    <d v="2025-10-16T00:00:00"/>
    <d v="2025-10-21T00:00:00"/>
    <d v="2025-10-22T00:00:00"/>
    <d v="2025-10-24T00:00:00"/>
    <s v="No"/>
    <m/>
    <d v="2025-11-16T00:00:00"/>
    <n v="1"/>
    <n v="5"/>
    <n v="1"/>
    <n v="2"/>
    <s v="Detractor"/>
  </r>
  <r>
    <s v="L1342"/>
    <x v="1"/>
    <s v="Warm"/>
    <d v="2025-10-12T00:00:00"/>
    <d v="2025-10-16T00:00:00"/>
    <d v="2025-10-20T00:00:00"/>
    <d v="2025-10-27T00:00:00"/>
    <s v="No"/>
    <m/>
    <d v="2025-11-12T00:00:00"/>
    <n v="4"/>
    <n v="4"/>
    <n v="4"/>
    <n v="7"/>
    <s v="Detractor"/>
  </r>
  <r>
    <s v="L1343"/>
    <x v="1"/>
    <s v="Warm"/>
    <d v="2025-10-14T00:00:00"/>
    <d v="2025-10-17T00:00:00"/>
    <d v="2025-10-20T00:00:00"/>
    <d v="2025-10-24T00:00:00"/>
    <s v="No"/>
    <m/>
    <d v="2025-11-23T00:00:00"/>
    <n v="8"/>
    <n v="3"/>
    <n v="3"/>
    <n v="4"/>
    <s v="Passive"/>
  </r>
  <r>
    <s v="L1344"/>
    <x v="3"/>
    <s v="Warm"/>
    <d v="2025-10-11T00:00:00"/>
    <d v="2025-10-14T00:00:00"/>
    <d v="2025-10-15T00:00:00"/>
    <d v="2025-10-19T00:00:00"/>
    <s v="No"/>
    <m/>
    <d v="2025-11-02T00:00:00"/>
    <n v="3"/>
    <n v="3"/>
    <n v="1"/>
    <n v="4"/>
    <s v="Detractor"/>
  </r>
  <r>
    <s v="L1345"/>
    <x v="3"/>
    <s v="Warm"/>
    <d v="2025-10-11T00:00:00"/>
    <d v="2025-10-16T00:00:00"/>
    <d v="2025-10-21T00:00:00"/>
    <d v="2025-10-23T00:00:00"/>
    <s v="No"/>
    <m/>
    <d v="2025-11-21T00:00:00"/>
    <n v="6"/>
    <n v="5"/>
    <n v="5"/>
    <n v="2"/>
    <s v="Detractor"/>
  </r>
  <r>
    <s v="L1346"/>
    <x v="2"/>
    <s v="Warm"/>
    <d v="2025-10-22T00:00:00"/>
    <d v="2025-10-24T00:00:00"/>
    <d v="2025-10-25T00:00:00"/>
    <d v="2025-10-29T00:00:00"/>
    <s v="No"/>
    <m/>
    <d v="2025-11-16T00:00:00"/>
    <n v="4"/>
    <n v="2"/>
    <n v="1"/>
    <n v="4"/>
    <s v="Detractor"/>
  </r>
  <r>
    <s v="L1347"/>
    <x v="3"/>
    <s v="Hot"/>
    <d v="2025-10-04T00:00:00"/>
    <d v="2025-10-07T00:00:00"/>
    <d v="2025-10-08T00:00:00"/>
    <d v="2025-10-15T00:00:00"/>
    <s v="No"/>
    <m/>
    <d v="2025-11-04T00:00:00"/>
    <n v="8"/>
    <n v="3"/>
    <n v="1"/>
    <n v="7"/>
    <s v="Passive"/>
  </r>
  <r>
    <s v="L1348"/>
    <x v="2"/>
    <s v="Warm"/>
    <d v="2025-10-28T00:00:00"/>
    <d v="2025-10-29T00:00:00"/>
    <d v="2025-11-02T00:00:00"/>
    <d v="2025-11-09T00:00:00"/>
    <s v="No"/>
    <m/>
    <d v="2025-11-21T00:00:00"/>
    <n v="4"/>
    <n v="1"/>
    <n v="4"/>
    <n v="7"/>
    <s v="Detractor"/>
  </r>
  <r>
    <s v="L1349"/>
    <x v="1"/>
    <s v="Warm"/>
    <d v="2025-10-06T00:00:00"/>
    <d v="2025-10-11T00:00:00"/>
    <d v="2025-10-12T00:00:00"/>
    <d v="2025-10-15T00:00:00"/>
    <s v="No"/>
    <m/>
    <d v="2025-10-27T00:00:00"/>
    <n v="6"/>
    <n v="5"/>
    <n v="1"/>
    <n v="3"/>
    <s v="Detractor"/>
  </r>
  <r>
    <s v="L1350"/>
    <x v="1"/>
    <s v="Warm"/>
    <d v="2025-10-11T00:00:00"/>
    <d v="2025-10-13T00:00:00"/>
    <d v="2025-10-16T00:00:00"/>
    <d v="2025-10-18T00:00:00"/>
    <s v="Yes"/>
    <s v="Other"/>
    <m/>
    <m/>
    <n v="2"/>
    <n v="3"/>
    <n v="2"/>
    <s v="Detractor"/>
  </r>
  <r>
    <s v="L1351"/>
    <x v="0"/>
    <s v="Warm"/>
    <d v="2025-10-14T00:00:00"/>
    <d v="2025-10-17T00:00:00"/>
    <d v="2025-10-21T00:00:00"/>
    <d v="2025-10-26T00:00:00"/>
    <s v="Yes"/>
    <s v="Changed Mind"/>
    <m/>
    <m/>
    <n v="3"/>
    <n v="4"/>
    <n v="5"/>
    <s v="Detractor"/>
  </r>
  <r>
    <s v="L1352"/>
    <x v="1"/>
    <s v="Warm"/>
    <d v="2025-10-23T00:00:00"/>
    <d v="2025-10-26T00:00:00"/>
    <d v="2025-10-28T00:00:00"/>
    <d v="2025-11-04T00:00:00"/>
    <s v="No"/>
    <m/>
    <d v="2025-11-26T00:00:00"/>
    <n v="5"/>
    <n v="3"/>
    <n v="2"/>
    <n v="7"/>
    <s v="Detractor"/>
  </r>
  <r>
    <s v="L1353"/>
    <x v="3"/>
    <s v="Cold"/>
    <d v="2025-10-16T00:00:00"/>
    <m/>
    <m/>
    <m/>
    <s v="Yes"/>
    <s v="Model Unavailable"/>
    <m/>
    <m/>
    <m/>
    <n v="0"/>
    <n v="0"/>
    <s v="Detractor"/>
  </r>
  <r>
    <s v="L1354"/>
    <x v="1"/>
    <s v="Hot"/>
    <d v="2025-10-10T00:00:00"/>
    <d v="2025-10-14T00:00:00"/>
    <d v="2025-10-16T00:00:00"/>
    <d v="2025-10-20T00:00:00"/>
    <s v="No"/>
    <m/>
    <d v="2025-11-16T00:00:00"/>
    <n v="2"/>
    <n v="4"/>
    <n v="2"/>
    <n v="4"/>
    <s v="Detractor"/>
  </r>
  <r>
    <s v="L1355"/>
    <x v="2"/>
    <s v="Warm"/>
    <d v="2025-10-22T00:00:00"/>
    <d v="2025-10-24T00:00:00"/>
    <d v="2025-10-28T00:00:00"/>
    <d v="2025-11-04T00:00:00"/>
    <s v="No"/>
    <m/>
    <d v="2025-11-26T00:00:00"/>
    <n v="3"/>
    <n v="2"/>
    <n v="4"/>
    <n v="7"/>
    <s v="Detractor"/>
  </r>
  <r>
    <s v="L1356"/>
    <x v="1"/>
    <s v="Warm"/>
    <d v="2025-10-31T00:00:00"/>
    <d v="2025-11-05T00:00:00"/>
    <d v="2025-11-08T00:00:00"/>
    <d v="2025-11-15T00:00:00"/>
    <s v="No"/>
    <m/>
    <d v="2025-12-12T00:00:00"/>
    <n v="10"/>
    <n v="5"/>
    <n v="3"/>
    <n v="7"/>
    <s v="Promoter"/>
  </r>
  <r>
    <s v="L1357"/>
    <x v="0"/>
    <s v="Warm"/>
    <d v="2025-10-13T00:00:00"/>
    <d v="2025-10-14T00:00:00"/>
    <d v="2025-10-18T00:00:00"/>
    <d v="2025-10-21T00:00:00"/>
    <s v="No"/>
    <m/>
    <d v="2025-11-10T00:00:00"/>
    <n v="3"/>
    <n v="1"/>
    <n v="4"/>
    <n v="3"/>
    <s v="Detractor"/>
  </r>
  <r>
    <s v="L1358"/>
    <x v="1"/>
    <s v="Cold"/>
    <d v="2025-10-27T00:00:00"/>
    <m/>
    <m/>
    <m/>
    <s v="Yes"/>
    <s v="Other"/>
    <m/>
    <m/>
    <m/>
    <n v="0"/>
    <n v="0"/>
    <s v="Detractor"/>
  </r>
  <r>
    <s v="L1359"/>
    <x v="2"/>
    <s v="Hot"/>
    <d v="2025-10-25T00:00:00"/>
    <d v="2025-10-28T00:00:00"/>
    <d v="2025-11-01T00:00:00"/>
    <d v="2025-11-06T00:00:00"/>
    <s v="No"/>
    <m/>
    <d v="2025-11-24T00:00:00"/>
    <n v="5"/>
    <n v="3"/>
    <n v="4"/>
    <n v="5"/>
    <s v="Detractor"/>
  </r>
  <r>
    <s v="L1360"/>
    <x v="2"/>
    <s v="Warm"/>
    <d v="2025-10-18T00:00:00"/>
    <d v="2025-10-23T00:00:00"/>
    <d v="2025-10-27T00:00:00"/>
    <d v="2025-11-03T00:00:00"/>
    <s v="No"/>
    <m/>
    <d v="2025-11-29T00:00:00"/>
    <n v="8"/>
    <n v="5"/>
    <n v="4"/>
    <n v="7"/>
    <s v="Passive"/>
  </r>
  <r>
    <s v="L1361"/>
    <x v="3"/>
    <s v="Warm"/>
    <d v="2025-10-02T00:00:00"/>
    <d v="2025-10-06T00:00:00"/>
    <d v="2025-10-10T00:00:00"/>
    <d v="2025-10-12T00:00:00"/>
    <s v="No"/>
    <m/>
    <d v="2025-11-05T00:00:00"/>
    <n v="0"/>
    <n v="4"/>
    <n v="4"/>
    <n v="2"/>
    <s v="Detractor"/>
  </r>
  <r>
    <s v="L1362"/>
    <x v="1"/>
    <s v="Warm"/>
    <d v="2025-10-15T00:00:00"/>
    <d v="2025-10-18T00:00:00"/>
    <d v="2025-10-19T00:00:00"/>
    <d v="2025-10-26T00:00:00"/>
    <s v="No"/>
    <m/>
    <d v="2025-11-05T00:00:00"/>
    <n v="1"/>
    <n v="3"/>
    <n v="1"/>
    <n v="7"/>
    <s v="Detractor"/>
  </r>
  <r>
    <s v="L1363"/>
    <x v="2"/>
    <s v="Warm"/>
    <d v="2025-10-03T00:00:00"/>
    <d v="2025-10-05T00:00:00"/>
    <d v="2025-10-10T00:00:00"/>
    <d v="2025-10-12T00:00:00"/>
    <s v="No"/>
    <m/>
    <d v="2025-11-10T00:00:00"/>
    <n v="4"/>
    <n v="2"/>
    <n v="5"/>
    <n v="2"/>
    <s v="Detractor"/>
  </r>
  <r>
    <s v="L1364"/>
    <x v="0"/>
    <s v="Warm"/>
    <d v="2025-10-11T00:00:00"/>
    <d v="2025-10-16T00:00:00"/>
    <d v="2025-10-18T00:00:00"/>
    <d v="2025-10-20T00:00:00"/>
    <s v="No"/>
    <m/>
    <d v="2025-11-17T00:00:00"/>
    <n v="5"/>
    <n v="5"/>
    <n v="2"/>
    <n v="2"/>
    <s v="Detractor"/>
  </r>
  <r>
    <s v="L1365"/>
    <x v="3"/>
    <s v="Warm"/>
    <d v="2025-10-09T00:00:00"/>
    <d v="2025-10-10T00:00:00"/>
    <d v="2025-10-13T00:00:00"/>
    <d v="2025-10-16T00:00:00"/>
    <s v="No"/>
    <m/>
    <d v="2025-11-11T00:00:00"/>
    <n v="10"/>
    <n v="1"/>
    <n v="3"/>
    <n v="3"/>
    <s v="Promoter"/>
  </r>
  <r>
    <s v="L1366"/>
    <x v="0"/>
    <s v="Warm"/>
    <d v="2025-10-11T00:00:00"/>
    <d v="2025-10-15T00:00:00"/>
    <d v="2025-10-16T00:00:00"/>
    <d v="2025-10-21T00:00:00"/>
    <s v="No"/>
    <m/>
    <d v="2025-11-13T00:00:00"/>
    <n v="3"/>
    <n v="4"/>
    <n v="1"/>
    <n v="5"/>
    <s v="Detractor"/>
  </r>
  <r>
    <s v="L1367"/>
    <x v="1"/>
    <s v="Hot"/>
    <d v="2025-10-04T00:00:00"/>
    <d v="2025-10-09T00:00:00"/>
    <d v="2025-10-11T00:00:00"/>
    <d v="2025-10-13T00:00:00"/>
    <s v="Yes"/>
    <s v="Model Unavailable"/>
    <m/>
    <m/>
    <n v="5"/>
    <n v="2"/>
    <n v="2"/>
    <s v="Detractor"/>
  </r>
  <r>
    <s v="L1368"/>
    <x v="1"/>
    <s v="Warm"/>
    <d v="2025-10-25T00:00:00"/>
    <d v="2025-10-28T00:00:00"/>
    <d v="2025-11-02T00:00:00"/>
    <d v="2025-11-05T00:00:00"/>
    <s v="No"/>
    <m/>
    <d v="2025-11-18T00:00:00"/>
    <n v="10"/>
    <n v="3"/>
    <n v="5"/>
    <n v="3"/>
    <s v="Promoter"/>
  </r>
  <r>
    <s v="L1369"/>
    <x v="1"/>
    <s v="Hot"/>
    <d v="2025-10-13T00:00:00"/>
    <d v="2025-10-14T00:00:00"/>
    <d v="2025-10-18T00:00:00"/>
    <d v="2025-10-24T00:00:00"/>
    <s v="No"/>
    <m/>
    <d v="2025-11-16T00:00:00"/>
    <n v="4"/>
    <n v="1"/>
    <n v="4"/>
    <n v="6"/>
    <s v="Detractor"/>
  </r>
  <r>
    <s v="L1370"/>
    <x v="3"/>
    <s v="Warm"/>
    <d v="2025-10-28T00:00:00"/>
    <d v="2025-10-31T00:00:00"/>
    <d v="2025-11-05T00:00:00"/>
    <d v="2025-11-08T00:00:00"/>
    <s v="No"/>
    <m/>
    <d v="2025-11-22T00:00:00"/>
    <n v="7"/>
    <n v="3"/>
    <n v="5"/>
    <n v="3"/>
    <s v="Passive"/>
  </r>
  <r>
    <s v="L1371"/>
    <x v="2"/>
    <s v="Warm"/>
    <d v="2025-10-17T00:00:00"/>
    <d v="2025-10-20T00:00:00"/>
    <d v="2025-10-22T00:00:00"/>
    <d v="2025-10-28T00:00:00"/>
    <s v="No"/>
    <m/>
    <d v="2025-11-11T00:00:00"/>
    <n v="1"/>
    <n v="3"/>
    <n v="2"/>
    <n v="6"/>
    <s v="Detractor"/>
  </r>
  <r>
    <s v="L1372"/>
    <x v="3"/>
    <s v="Warm"/>
    <d v="2025-10-27T00:00:00"/>
    <d v="2025-10-29T00:00:00"/>
    <d v="2025-10-31T00:00:00"/>
    <d v="2025-11-07T00:00:00"/>
    <s v="No"/>
    <m/>
    <d v="2025-12-05T00:00:00"/>
    <n v="5"/>
    <n v="2"/>
    <n v="2"/>
    <n v="7"/>
    <s v="Detractor"/>
  </r>
  <r>
    <s v="L1373"/>
    <x v="0"/>
    <s v="Warm"/>
    <d v="2025-10-01T00:00:00"/>
    <d v="2025-10-03T00:00:00"/>
    <d v="2025-10-04T00:00:00"/>
    <d v="2025-10-09T00:00:00"/>
    <s v="No"/>
    <m/>
    <d v="2025-11-06T00:00:00"/>
    <n v="2"/>
    <n v="2"/>
    <n v="1"/>
    <n v="5"/>
    <s v="Detractor"/>
  </r>
  <r>
    <s v="L1374"/>
    <x v="3"/>
    <s v="Hot"/>
    <d v="2025-10-22T00:00:00"/>
    <d v="2025-10-25T00:00:00"/>
    <d v="2025-10-26T00:00:00"/>
    <d v="2025-10-28T00:00:00"/>
    <s v="No"/>
    <m/>
    <d v="2025-11-25T00:00:00"/>
    <n v="9"/>
    <n v="3"/>
    <n v="1"/>
    <n v="2"/>
    <s v="Promoter"/>
  </r>
  <r>
    <s v="L1375"/>
    <x v="0"/>
    <s v="Warm"/>
    <d v="2025-10-28T00:00:00"/>
    <d v="2025-11-01T00:00:00"/>
    <d v="2025-11-04T00:00:00"/>
    <d v="2025-11-06T00:00:00"/>
    <s v="Yes"/>
    <s v="Changed Mind"/>
    <m/>
    <m/>
    <n v="4"/>
    <n v="3"/>
    <n v="2"/>
    <s v="Detractor"/>
  </r>
  <r>
    <s v="L1376"/>
    <x v="3"/>
    <s v="Warm"/>
    <d v="2025-10-18T00:00:00"/>
    <d v="2025-10-20T00:00:00"/>
    <d v="2025-10-24T00:00:00"/>
    <d v="2025-10-31T00:00:00"/>
    <s v="No"/>
    <m/>
    <d v="2025-11-13T00:00:00"/>
    <n v="3"/>
    <n v="2"/>
    <n v="4"/>
    <n v="7"/>
    <s v="Detractor"/>
  </r>
  <r>
    <s v="L1377"/>
    <x v="2"/>
    <s v="Warm"/>
    <d v="2025-10-15T00:00:00"/>
    <d v="2025-10-17T00:00:00"/>
    <d v="2025-10-22T00:00:00"/>
    <d v="2025-10-26T00:00:00"/>
    <s v="No"/>
    <m/>
    <d v="2025-11-08T00:00:00"/>
    <n v="9"/>
    <n v="2"/>
    <n v="5"/>
    <n v="4"/>
    <s v="Promoter"/>
  </r>
  <r>
    <s v="L1378"/>
    <x v="0"/>
    <s v="Cold"/>
    <d v="2025-10-14T00:00:00"/>
    <m/>
    <m/>
    <m/>
    <s v="Yes"/>
    <s v="Financing Issue"/>
    <m/>
    <m/>
    <m/>
    <n v="0"/>
    <n v="0"/>
    <s v="Detractor"/>
  </r>
  <r>
    <s v="L1379"/>
    <x v="1"/>
    <s v="Hot"/>
    <d v="2025-10-02T00:00:00"/>
    <d v="2025-10-04T00:00:00"/>
    <d v="2025-10-08T00:00:00"/>
    <d v="2025-10-10T00:00:00"/>
    <s v="No"/>
    <m/>
    <d v="2025-11-07T00:00:00"/>
    <n v="10"/>
    <n v="2"/>
    <n v="4"/>
    <n v="2"/>
    <s v="Promoter"/>
  </r>
  <r>
    <s v="L1380"/>
    <x v="1"/>
    <s v="Warm"/>
    <d v="2025-10-07T00:00:00"/>
    <d v="2025-10-09T00:00:00"/>
    <d v="2025-10-14T00:00:00"/>
    <d v="2025-10-19T00:00:00"/>
    <s v="No"/>
    <m/>
    <d v="2025-11-01T00:00:00"/>
    <n v="1"/>
    <n v="2"/>
    <n v="5"/>
    <n v="5"/>
    <s v="Detractor"/>
  </r>
  <r>
    <s v="L1381"/>
    <x v="3"/>
    <s v="Warm"/>
    <d v="2025-10-17T00:00:00"/>
    <d v="2025-10-18T00:00:00"/>
    <d v="2025-10-22T00:00:00"/>
    <d v="2025-10-29T00:00:00"/>
    <s v="No"/>
    <m/>
    <d v="2025-11-17T00:00:00"/>
    <n v="8"/>
    <n v="1"/>
    <n v="4"/>
    <n v="7"/>
    <s v="Passive"/>
  </r>
  <r>
    <s v="L1382"/>
    <x v="1"/>
    <s v="Warm"/>
    <d v="2025-10-12T00:00:00"/>
    <d v="2025-10-15T00:00:00"/>
    <d v="2025-10-17T00:00:00"/>
    <d v="2025-10-20T00:00:00"/>
    <s v="No"/>
    <m/>
    <d v="2025-11-16T00:00:00"/>
    <n v="4"/>
    <n v="3"/>
    <n v="2"/>
    <n v="3"/>
    <s v="Detractor"/>
  </r>
  <r>
    <s v="L1383"/>
    <x v="0"/>
    <s v="Hot"/>
    <d v="2025-10-20T00:00:00"/>
    <d v="2025-10-21T00:00:00"/>
    <d v="2025-10-23T00:00:00"/>
    <d v="2025-10-28T00:00:00"/>
    <s v="No"/>
    <m/>
    <d v="2025-11-18T00:00:00"/>
    <n v="9"/>
    <n v="1"/>
    <n v="2"/>
    <n v="5"/>
    <s v="Promoter"/>
  </r>
  <r>
    <s v="L1384"/>
    <x v="1"/>
    <s v="Hot"/>
    <d v="2025-10-25T00:00:00"/>
    <d v="2025-10-30T00:00:00"/>
    <d v="2025-11-03T00:00:00"/>
    <d v="2025-11-05T00:00:00"/>
    <s v="Yes"/>
    <s v="Model Unavailable"/>
    <m/>
    <m/>
    <n v="5"/>
    <n v="4"/>
    <n v="2"/>
    <s v="Detractor"/>
  </r>
  <r>
    <s v="L1385"/>
    <x v="2"/>
    <s v="Cold"/>
    <d v="2025-10-16T00:00:00"/>
    <m/>
    <m/>
    <m/>
    <s v="Yes"/>
    <s v="Price"/>
    <m/>
    <m/>
    <m/>
    <n v="0"/>
    <n v="0"/>
    <s v="Detractor"/>
  </r>
  <r>
    <s v="L1386"/>
    <x v="2"/>
    <s v="Warm"/>
    <d v="2025-10-21T00:00:00"/>
    <d v="2025-10-26T00:00:00"/>
    <d v="2025-10-29T00:00:00"/>
    <d v="2025-11-01T00:00:00"/>
    <s v="No"/>
    <m/>
    <d v="2025-11-24T00:00:00"/>
    <n v="5"/>
    <n v="5"/>
    <n v="3"/>
    <n v="3"/>
    <s v="Detractor"/>
  </r>
  <r>
    <s v="L1387"/>
    <x v="3"/>
    <s v="Warm"/>
    <d v="2025-10-15T00:00:00"/>
    <d v="2025-10-20T00:00:00"/>
    <d v="2025-10-22T00:00:00"/>
    <d v="2025-10-27T00:00:00"/>
    <s v="Yes"/>
    <s v="Price"/>
    <m/>
    <m/>
    <n v="5"/>
    <n v="2"/>
    <n v="5"/>
    <s v="Detractor"/>
  </r>
  <r>
    <s v="L1388"/>
    <x v="0"/>
    <s v="Warm"/>
    <d v="2025-10-25T00:00:00"/>
    <d v="2025-10-26T00:00:00"/>
    <d v="2025-10-29T00:00:00"/>
    <d v="2025-10-31T00:00:00"/>
    <s v="No"/>
    <m/>
    <d v="2025-11-18T00:00:00"/>
    <n v="3"/>
    <n v="1"/>
    <n v="3"/>
    <n v="2"/>
    <s v="Detractor"/>
  </r>
  <r>
    <s v="L1389"/>
    <x v="2"/>
    <s v="Warm"/>
    <d v="2025-10-02T00:00:00"/>
    <d v="2025-10-05T00:00:00"/>
    <d v="2025-10-07T00:00:00"/>
    <d v="2025-10-14T00:00:00"/>
    <s v="No"/>
    <m/>
    <d v="2025-11-05T00:00:00"/>
    <n v="6"/>
    <n v="3"/>
    <n v="2"/>
    <n v="7"/>
    <s v="Detractor"/>
  </r>
  <r>
    <s v="L1390"/>
    <x v="2"/>
    <s v="Hot"/>
    <d v="2025-10-07T00:00:00"/>
    <d v="2025-10-12T00:00:00"/>
    <d v="2025-10-13T00:00:00"/>
    <d v="2025-10-15T00:00:00"/>
    <s v="No"/>
    <m/>
    <d v="2025-11-14T00:00:00"/>
    <n v="1"/>
    <n v="5"/>
    <n v="1"/>
    <n v="2"/>
    <s v="Detractor"/>
  </r>
  <r>
    <s v="L1391"/>
    <x v="0"/>
    <s v="Warm"/>
    <d v="2025-10-09T00:00:00"/>
    <d v="2025-10-11T00:00:00"/>
    <d v="2025-10-12T00:00:00"/>
    <d v="2025-10-14T00:00:00"/>
    <s v="No"/>
    <m/>
    <d v="2025-11-08T00:00:00"/>
    <n v="4"/>
    <n v="2"/>
    <n v="1"/>
    <n v="2"/>
    <s v="Detractor"/>
  </r>
  <r>
    <s v="L1392"/>
    <x v="1"/>
    <s v="Warm"/>
    <d v="2025-10-18T00:00:00"/>
    <d v="2025-10-23T00:00:00"/>
    <d v="2025-10-27T00:00:00"/>
    <d v="2025-10-31T00:00:00"/>
    <s v="No"/>
    <m/>
    <d v="2025-11-28T00:00:00"/>
    <n v="6"/>
    <n v="5"/>
    <n v="4"/>
    <n v="4"/>
    <s v="Detractor"/>
  </r>
  <r>
    <s v="L1393"/>
    <x v="1"/>
    <s v="Cold"/>
    <d v="2025-10-05T00:00:00"/>
    <m/>
    <m/>
    <m/>
    <s v="Yes"/>
    <s v="Other"/>
    <m/>
    <m/>
    <m/>
    <n v="0"/>
    <n v="0"/>
    <s v="Detractor"/>
  </r>
  <r>
    <s v="L1394"/>
    <x v="3"/>
    <s v="Hot"/>
    <d v="2025-10-30T00:00:00"/>
    <d v="2025-11-03T00:00:00"/>
    <d v="2025-11-08T00:00:00"/>
    <d v="2025-11-12T00:00:00"/>
    <s v="No"/>
    <m/>
    <d v="2025-12-11T00:00:00"/>
    <n v="2"/>
    <n v="4"/>
    <n v="5"/>
    <n v="4"/>
    <s v="Detractor"/>
  </r>
  <r>
    <s v="L1395"/>
    <x v="1"/>
    <s v="Warm"/>
    <d v="2025-10-10T00:00:00"/>
    <d v="2025-10-12T00:00:00"/>
    <d v="2025-10-13T00:00:00"/>
    <d v="2025-10-17T00:00:00"/>
    <s v="No"/>
    <m/>
    <d v="2025-11-11T00:00:00"/>
    <n v="8"/>
    <n v="2"/>
    <n v="1"/>
    <n v="4"/>
    <s v="Passive"/>
  </r>
  <r>
    <s v="L1396"/>
    <x v="0"/>
    <s v="Warm"/>
    <d v="2025-10-15T00:00:00"/>
    <d v="2025-10-17T00:00:00"/>
    <d v="2025-10-19T00:00:00"/>
    <d v="2025-10-22T00:00:00"/>
    <s v="No"/>
    <m/>
    <d v="2025-11-02T00:00:00"/>
    <n v="6"/>
    <n v="2"/>
    <n v="2"/>
    <n v="3"/>
    <s v="Detractor"/>
  </r>
  <r>
    <s v="L1397"/>
    <x v="2"/>
    <s v="Warm"/>
    <d v="2025-10-29T00:00:00"/>
    <d v="2025-10-31T00:00:00"/>
    <d v="2025-11-02T00:00:00"/>
    <d v="2025-11-07T00:00:00"/>
    <s v="No"/>
    <m/>
    <d v="2025-11-22T00:00:00"/>
    <n v="2"/>
    <n v="2"/>
    <n v="2"/>
    <n v="5"/>
    <s v="Detractor"/>
  </r>
  <r>
    <s v="L1398"/>
    <x v="1"/>
    <s v="Warm"/>
    <d v="2025-10-23T00:00:00"/>
    <d v="2025-10-28T00:00:00"/>
    <d v="2025-10-29T00:00:00"/>
    <d v="2025-11-01T00:00:00"/>
    <s v="No"/>
    <m/>
    <d v="2025-11-19T00:00:00"/>
    <n v="6"/>
    <n v="5"/>
    <n v="1"/>
    <n v="3"/>
    <s v="Detractor"/>
  </r>
  <r>
    <s v="L1399"/>
    <x v="3"/>
    <s v="Warm"/>
    <d v="2025-10-16T00:00:00"/>
    <d v="2025-10-18T00:00:00"/>
    <d v="2025-10-19T00:00:00"/>
    <d v="2025-10-26T00:00:00"/>
    <s v="No"/>
    <m/>
    <d v="2025-11-17T00:00:00"/>
    <n v="7"/>
    <n v="2"/>
    <n v="1"/>
    <n v="7"/>
    <s v="Passive"/>
  </r>
  <r>
    <s v="L1400"/>
    <x v="1"/>
    <s v="Warm"/>
    <d v="2025-10-04T00:00:00"/>
    <d v="2025-10-08T00:00:00"/>
    <d v="2025-10-13T00:00:00"/>
    <d v="2025-10-20T00:00:00"/>
    <s v="No"/>
    <m/>
    <d v="2025-11-03T00:00:00"/>
    <n v="1"/>
    <n v="4"/>
    <n v="5"/>
    <n v="7"/>
    <s v="Detractor"/>
  </r>
  <r>
    <s v="L1401"/>
    <x v="0"/>
    <s v="Warm"/>
    <d v="2025-10-01T00:00:00"/>
    <d v="2025-10-02T00:00:00"/>
    <d v="2025-10-03T00:00:00"/>
    <d v="2025-10-06T00:00:00"/>
    <s v="No"/>
    <m/>
    <d v="2025-11-04T00:00:00"/>
    <n v="8"/>
    <n v="1"/>
    <n v="1"/>
    <n v="3"/>
    <s v="Passive"/>
  </r>
  <r>
    <s v="L1402"/>
    <x v="3"/>
    <s v="Warm"/>
    <d v="2025-10-21T00:00:00"/>
    <d v="2025-10-25T00:00:00"/>
    <d v="2025-10-29T00:00:00"/>
    <d v="2025-10-31T00:00:00"/>
    <s v="No"/>
    <m/>
    <d v="2025-11-29T00:00:00"/>
    <n v="7"/>
    <n v="4"/>
    <n v="4"/>
    <n v="2"/>
    <s v="Passive"/>
  </r>
  <r>
    <s v="L1403"/>
    <x v="1"/>
    <s v="Cold"/>
    <d v="2025-10-20T00:00:00"/>
    <m/>
    <m/>
    <m/>
    <s v="Yes"/>
    <s v="Changed Mind"/>
    <m/>
    <m/>
    <m/>
    <n v="0"/>
    <n v="0"/>
    <s v="Detractor"/>
  </r>
  <r>
    <s v="L1404"/>
    <x v="3"/>
    <s v="Warm"/>
    <d v="2025-10-26T00:00:00"/>
    <d v="2025-10-29T00:00:00"/>
    <d v="2025-11-03T00:00:00"/>
    <d v="2025-11-09T00:00:00"/>
    <s v="Yes"/>
    <s v="Other"/>
    <m/>
    <m/>
    <n v="3"/>
    <n v="5"/>
    <n v="6"/>
    <s v="Detractor"/>
  </r>
  <r>
    <s v="L1405"/>
    <x v="0"/>
    <s v="Warm"/>
    <d v="2025-10-08T00:00:00"/>
    <d v="2025-10-10T00:00:00"/>
    <d v="2025-10-11T00:00:00"/>
    <d v="2025-10-17T00:00:00"/>
    <s v="No"/>
    <m/>
    <d v="2025-11-08T00:00:00"/>
    <n v="7"/>
    <n v="2"/>
    <n v="1"/>
    <n v="6"/>
    <s v="Passive"/>
  </r>
  <r>
    <s v="L1406"/>
    <x v="2"/>
    <s v="Hot"/>
    <d v="2025-10-23T00:00:00"/>
    <d v="2025-10-27T00:00:00"/>
    <d v="2025-10-29T00:00:00"/>
    <d v="2025-10-31T00:00:00"/>
    <s v="No"/>
    <m/>
    <d v="2025-11-11T00:00:00"/>
    <n v="7"/>
    <n v="4"/>
    <n v="2"/>
    <n v="2"/>
    <s v="Passive"/>
  </r>
  <r>
    <s v="L1407"/>
    <x v="0"/>
    <s v="Cold"/>
    <d v="2025-10-06T00:00:00"/>
    <m/>
    <m/>
    <m/>
    <s v="Yes"/>
    <s v="Other"/>
    <m/>
    <m/>
    <m/>
    <n v="0"/>
    <n v="0"/>
    <s v="Detractor"/>
  </r>
  <r>
    <s v="L1408"/>
    <x v="0"/>
    <s v="Hot"/>
    <d v="2025-10-10T00:00:00"/>
    <d v="2025-10-15T00:00:00"/>
    <d v="2025-10-16T00:00:00"/>
    <d v="2025-10-22T00:00:00"/>
    <s v="Yes"/>
    <s v="Other"/>
    <m/>
    <m/>
    <n v="5"/>
    <n v="1"/>
    <n v="6"/>
    <s v="Detractor"/>
  </r>
  <r>
    <s v="L1409"/>
    <x v="0"/>
    <s v="Hot"/>
    <d v="2025-10-18T00:00:00"/>
    <d v="2025-10-21T00:00:00"/>
    <d v="2025-10-25T00:00:00"/>
    <d v="2025-11-01T00:00:00"/>
    <s v="No"/>
    <m/>
    <d v="2025-11-23T00:00:00"/>
    <n v="1"/>
    <n v="3"/>
    <n v="4"/>
    <n v="7"/>
    <s v="Detractor"/>
  </r>
  <r>
    <s v="L1410"/>
    <x v="0"/>
    <s v="Hot"/>
    <d v="2025-10-01T00:00:00"/>
    <d v="2025-10-05T00:00:00"/>
    <d v="2025-10-09T00:00:00"/>
    <d v="2025-10-12T00:00:00"/>
    <s v="No"/>
    <m/>
    <d v="2025-11-01T00:00:00"/>
    <n v="1"/>
    <n v="4"/>
    <n v="4"/>
    <n v="3"/>
    <s v="Detractor"/>
  </r>
  <r>
    <s v="L1411"/>
    <x v="2"/>
    <s v="Warm"/>
    <d v="2025-10-18T00:00:00"/>
    <d v="2025-10-20T00:00:00"/>
    <d v="2025-10-22T00:00:00"/>
    <d v="2025-10-27T00:00:00"/>
    <s v="No"/>
    <m/>
    <d v="2025-11-13T00:00:00"/>
    <n v="10"/>
    <n v="2"/>
    <n v="2"/>
    <n v="5"/>
    <s v="Promoter"/>
  </r>
  <r>
    <s v="L1412"/>
    <x v="2"/>
    <s v="Hot"/>
    <d v="2025-10-14T00:00:00"/>
    <d v="2025-10-19T00:00:00"/>
    <d v="2025-10-24T00:00:00"/>
    <d v="2025-10-28T00:00:00"/>
    <s v="No"/>
    <m/>
    <d v="2025-11-08T00:00:00"/>
    <n v="7"/>
    <n v="5"/>
    <n v="5"/>
    <n v="4"/>
    <s v="Passive"/>
  </r>
  <r>
    <s v="L1413"/>
    <x v="3"/>
    <s v="Hot"/>
    <d v="2025-10-03T00:00:00"/>
    <d v="2025-10-05T00:00:00"/>
    <d v="2025-10-07T00:00:00"/>
    <d v="2025-10-14T00:00:00"/>
    <s v="No"/>
    <m/>
    <d v="2025-11-08T00:00:00"/>
    <n v="3"/>
    <n v="2"/>
    <n v="2"/>
    <n v="7"/>
    <s v="Detractor"/>
  </r>
  <r>
    <s v="L1414"/>
    <x v="1"/>
    <s v="Hot"/>
    <d v="2025-10-08T00:00:00"/>
    <d v="2025-10-11T00:00:00"/>
    <d v="2025-10-12T00:00:00"/>
    <d v="2025-10-15T00:00:00"/>
    <s v="Yes"/>
    <s v="Price"/>
    <m/>
    <m/>
    <n v="3"/>
    <n v="1"/>
    <n v="3"/>
    <s v="Detractor"/>
  </r>
  <r>
    <s v="L1415"/>
    <x v="2"/>
    <s v="Hot"/>
    <d v="2025-10-27T00:00:00"/>
    <d v="2025-10-31T00:00:00"/>
    <d v="2025-11-02T00:00:00"/>
    <d v="2025-11-09T00:00:00"/>
    <s v="No"/>
    <m/>
    <d v="2025-11-27T00:00:00"/>
    <n v="0"/>
    <n v="4"/>
    <n v="2"/>
    <n v="7"/>
    <s v="Detractor"/>
  </r>
  <r>
    <s v="L1416"/>
    <x v="2"/>
    <s v="Warm"/>
    <d v="2025-10-30T00:00:00"/>
    <d v="2025-11-01T00:00:00"/>
    <d v="2025-11-06T00:00:00"/>
    <d v="2025-11-13T00:00:00"/>
    <s v="No"/>
    <m/>
    <d v="2025-12-04T00:00:00"/>
    <n v="4"/>
    <n v="2"/>
    <n v="5"/>
    <n v="7"/>
    <s v="Detractor"/>
  </r>
  <r>
    <s v="L1417"/>
    <x v="1"/>
    <s v="Warm"/>
    <d v="2025-10-04T00:00:00"/>
    <d v="2025-10-07T00:00:00"/>
    <d v="2025-10-10T00:00:00"/>
    <d v="2025-10-13T00:00:00"/>
    <s v="No"/>
    <m/>
    <d v="2025-10-23T00:00:00"/>
    <n v="10"/>
    <n v="3"/>
    <n v="3"/>
    <n v="3"/>
    <s v="Promoter"/>
  </r>
  <r>
    <s v="L1418"/>
    <x v="2"/>
    <s v="Warm"/>
    <d v="2025-10-15T00:00:00"/>
    <d v="2025-10-20T00:00:00"/>
    <d v="2025-10-22T00:00:00"/>
    <d v="2025-10-27T00:00:00"/>
    <s v="No"/>
    <m/>
    <d v="2025-11-16T00:00:00"/>
    <n v="9"/>
    <n v="5"/>
    <n v="2"/>
    <n v="5"/>
    <s v="Promoter"/>
  </r>
  <r>
    <s v="L1419"/>
    <x v="0"/>
    <s v="Warm"/>
    <d v="2025-10-31T00:00:00"/>
    <d v="2025-11-04T00:00:00"/>
    <d v="2025-11-09T00:00:00"/>
    <d v="2025-11-15T00:00:00"/>
    <s v="No"/>
    <m/>
    <d v="2025-12-04T00:00:00"/>
    <n v="5"/>
    <n v="4"/>
    <n v="5"/>
    <n v="6"/>
    <s v="Detractor"/>
  </r>
  <r>
    <s v="L1420"/>
    <x v="0"/>
    <s v="Warm"/>
    <d v="2025-10-04T00:00:00"/>
    <d v="2025-10-08T00:00:00"/>
    <d v="2025-10-11T00:00:00"/>
    <d v="2025-10-18T00:00:00"/>
    <s v="No"/>
    <m/>
    <d v="2025-11-06T00:00:00"/>
    <n v="1"/>
    <n v="4"/>
    <n v="3"/>
    <n v="7"/>
    <s v="Detractor"/>
  </r>
  <r>
    <s v="L1421"/>
    <x v="1"/>
    <s v="Hot"/>
    <d v="2025-10-21T00:00:00"/>
    <d v="2025-10-24T00:00:00"/>
    <d v="2025-10-29T00:00:00"/>
    <d v="2025-11-03T00:00:00"/>
    <s v="No"/>
    <m/>
    <d v="2025-11-21T00:00:00"/>
    <n v="7"/>
    <n v="3"/>
    <n v="5"/>
    <n v="5"/>
    <s v="Passive"/>
  </r>
  <r>
    <s v="L1422"/>
    <x v="3"/>
    <s v="Warm"/>
    <d v="2025-10-27T00:00:00"/>
    <d v="2025-10-31T00:00:00"/>
    <d v="2025-11-05T00:00:00"/>
    <d v="2025-11-08T00:00:00"/>
    <s v="No"/>
    <m/>
    <d v="2025-12-03T00:00:00"/>
    <n v="2"/>
    <n v="4"/>
    <n v="5"/>
    <n v="3"/>
    <s v="Detractor"/>
  </r>
  <r>
    <s v="L1423"/>
    <x v="3"/>
    <s v="Cold"/>
    <d v="2025-10-05T00:00:00"/>
    <m/>
    <m/>
    <m/>
    <s v="Yes"/>
    <s v="Price"/>
    <m/>
    <m/>
    <m/>
    <n v="0"/>
    <n v="0"/>
    <s v="Detractor"/>
  </r>
  <r>
    <s v="L1424"/>
    <x v="1"/>
    <s v="Warm"/>
    <d v="2025-10-16T00:00:00"/>
    <d v="2025-10-21T00:00:00"/>
    <d v="2025-10-24T00:00:00"/>
    <d v="2025-10-26T00:00:00"/>
    <s v="No"/>
    <m/>
    <d v="2025-11-08T00:00:00"/>
    <n v="3"/>
    <n v="5"/>
    <n v="3"/>
    <n v="2"/>
    <s v="Detractor"/>
  </r>
  <r>
    <s v="L1425"/>
    <x v="1"/>
    <s v="Hot"/>
    <d v="2025-10-30T00:00:00"/>
    <d v="2025-11-04T00:00:00"/>
    <d v="2025-11-06T00:00:00"/>
    <d v="2025-11-08T00:00:00"/>
    <s v="No"/>
    <m/>
    <d v="2025-11-25T00:00:00"/>
    <n v="3"/>
    <n v="5"/>
    <n v="2"/>
    <n v="2"/>
    <s v="Detractor"/>
  </r>
  <r>
    <s v="L1426"/>
    <x v="0"/>
    <s v="Warm"/>
    <d v="2025-10-23T00:00:00"/>
    <d v="2025-10-27T00:00:00"/>
    <d v="2025-10-30T00:00:00"/>
    <d v="2025-11-02T00:00:00"/>
    <s v="No"/>
    <m/>
    <d v="2025-11-16T00:00:00"/>
    <n v="6"/>
    <n v="4"/>
    <n v="3"/>
    <n v="3"/>
    <s v="Detractor"/>
  </r>
  <r>
    <s v="L1427"/>
    <x v="3"/>
    <s v="Warm"/>
    <d v="2025-10-10T00:00:00"/>
    <d v="2025-10-12T00:00:00"/>
    <d v="2025-10-14T00:00:00"/>
    <d v="2025-10-16T00:00:00"/>
    <s v="No"/>
    <m/>
    <d v="2025-11-04T00:00:00"/>
    <n v="7"/>
    <n v="2"/>
    <n v="2"/>
    <n v="2"/>
    <s v="Passive"/>
  </r>
  <r>
    <s v="L1428"/>
    <x v="2"/>
    <s v="Warm"/>
    <d v="2025-10-17T00:00:00"/>
    <d v="2025-10-19T00:00:00"/>
    <d v="2025-10-24T00:00:00"/>
    <d v="2025-10-30T00:00:00"/>
    <s v="No"/>
    <m/>
    <d v="2025-11-23T00:00:00"/>
    <n v="8"/>
    <n v="2"/>
    <n v="5"/>
    <n v="6"/>
    <s v="Passive"/>
  </r>
  <r>
    <s v="L1429"/>
    <x v="0"/>
    <s v="Hot"/>
    <d v="2025-10-23T00:00:00"/>
    <d v="2025-10-28T00:00:00"/>
    <d v="2025-10-30T00:00:00"/>
    <d v="2025-11-06T00:00:00"/>
    <s v="No"/>
    <m/>
    <d v="2025-11-26T00:00:00"/>
    <n v="6"/>
    <n v="5"/>
    <n v="2"/>
    <n v="7"/>
    <s v="Detractor"/>
  </r>
  <r>
    <s v="L1430"/>
    <x v="1"/>
    <s v="Hot"/>
    <d v="2025-10-09T00:00:00"/>
    <d v="2025-10-11T00:00:00"/>
    <d v="2025-10-15T00:00:00"/>
    <d v="2025-10-20T00:00:00"/>
    <s v="No"/>
    <m/>
    <d v="2025-11-07T00:00:00"/>
    <n v="10"/>
    <n v="2"/>
    <n v="4"/>
    <n v="5"/>
    <s v="Promoter"/>
  </r>
  <r>
    <s v="L1431"/>
    <x v="3"/>
    <s v="Hot"/>
    <d v="2025-10-14T00:00:00"/>
    <d v="2025-10-17T00:00:00"/>
    <d v="2025-10-20T00:00:00"/>
    <d v="2025-10-24T00:00:00"/>
    <s v="No"/>
    <m/>
    <d v="2025-11-16T00:00:00"/>
    <n v="4"/>
    <n v="3"/>
    <n v="3"/>
    <n v="4"/>
    <s v="Detractor"/>
  </r>
  <r>
    <s v="L1432"/>
    <x v="2"/>
    <s v="Cold"/>
    <d v="2025-10-27T00:00:00"/>
    <m/>
    <m/>
    <m/>
    <s v="Yes"/>
    <s v="Other"/>
    <m/>
    <m/>
    <m/>
    <n v="0"/>
    <n v="0"/>
    <s v="Detractor"/>
  </r>
  <r>
    <s v="L1433"/>
    <x v="2"/>
    <s v="Warm"/>
    <d v="2025-10-16T00:00:00"/>
    <d v="2025-10-17T00:00:00"/>
    <d v="2025-10-20T00:00:00"/>
    <d v="2025-10-25T00:00:00"/>
    <s v="No"/>
    <m/>
    <d v="2025-11-23T00:00:00"/>
    <n v="1"/>
    <n v="1"/>
    <n v="3"/>
    <n v="5"/>
    <s v="Detractor"/>
  </r>
  <r>
    <s v="L1434"/>
    <x v="0"/>
    <s v="Hot"/>
    <d v="2025-10-16T00:00:00"/>
    <d v="2025-10-20T00:00:00"/>
    <d v="2025-10-21T00:00:00"/>
    <d v="2025-10-25T00:00:00"/>
    <s v="No"/>
    <m/>
    <d v="2025-11-24T00:00:00"/>
    <n v="3"/>
    <n v="4"/>
    <n v="1"/>
    <n v="4"/>
    <s v="Detractor"/>
  </r>
  <r>
    <s v="L1435"/>
    <x v="3"/>
    <s v="Hot"/>
    <d v="2025-10-08T00:00:00"/>
    <d v="2025-10-11T00:00:00"/>
    <d v="2025-10-16T00:00:00"/>
    <d v="2025-10-19T00:00:00"/>
    <s v="No"/>
    <m/>
    <d v="2025-10-31T00:00:00"/>
    <n v="7"/>
    <n v="3"/>
    <n v="5"/>
    <n v="3"/>
    <s v="Passive"/>
  </r>
  <r>
    <s v="L1436"/>
    <x v="3"/>
    <s v="Warm"/>
    <d v="2025-10-15T00:00:00"/>
    <d v="2025-10-20T00:00:00"/>
    <d v="2025-10-25T00:00:00"/>
    <d v="2025-10-28T00:00:00"/>
    <s v="No"/>
    <m/>
    <d v="2025-11-13T00:00:00"/>
    <n v="3"/>
    <n v="5"/>
    <n v="5"/>
    <n v="3"/>
    <s v="Detractor"/>
  </r>
  <r>
    <s v="L1437"/>
    <x v="1"/>
    <s v="Hot"/>
    <d v="2025-10-18T00:00:00"/>
    <d v="2025-10-19T00:00:00"/>
    <d v="2025-10-21T00:00:00"/>
    <d v="2025-10-25T00:00:00"/>
    <s v="No"/>
    <m/>
    <d v="2025-11-18T00:00:00"/>
    <n v="8"/>
    <n v="1"/>
    <n v="2"/>
    <n v="4"/>
    <s v="Passive"/>
  </r>
  <r>
    <s v="L1438"/>
    <x v="3"/>
    <s v="Hot"/>
    <d v="2025-10-05T00:00:00"/>
    <d v="2025-10-10T00:00:00"/>
    <d v="2025-10-14T00:00:00"/>
    <d v="2025-10-21T00:00:00"/>
    <s v="No"/>
    <m/>
    <d v="2025-11-06T00:00:00"/>
    <n v="7"/>
    <n v="5"/>
    <n v="4"/>
    <n v="7"/>
    <s v="Passive"/>
  </r>
  <r>
    <s v="L1439"/>
    <x v="3"/>
    <s v="Cold"/>
    <d v="2025-10-13T00:00:00"/>
    <m/>
    <m/>
    <m/>
    <s v="Yes"/>
    <s v="Price"/>
    <m/>
    <m/>
    <m/>
    <n v="0"/>
    <n v="0"/>
    <s v="Detractor"/>
  </r>
  <r>
    <s v="L1440"/>
    <x v="0"/>
    <s v="Hot"/>
    <d v="2025-10-07T00:00:00"/>
    <d v="2025-10-08T00:00:00"/>
    <d v="2025-10-13T00:00:00"/>
    <d v="2025-10-15T00:00:00"/>
    <s v="No"/>
    <m/>
    <d v="2025-11-07T00:00:00"/>
    <n v="1"/>
    <n v="1"/>
    <n v="5"/>
    <n v="2"/>
    <s v="Detractor"/>
  </r>
  <r>
    <s v="L1441"/>
    <x v="3"/>
    <s v="Warm"/>
    <d v="2025-10-30T00:00:00"/>
    <d v="2025-11-02T00:00:00"/>
    <d v="2025-11-06T00:00:00"/>
    <d v="2025-11-09T00:00:00"/>
    <s v="No"/>
    <m/>
    <d v="2025-12-04T00:00:00"/>
    <n v="8"/>
    <n v="3"/>
    <n v="4"/>
    <n v="3"/>
    <s v="Passive"/>
  </r>
  <r>
    <s v="L1442"/>
    <x v="2"/>
    <s v="Cold"/>
    <d v="2025-10-20T00:00:00"/>
    <m/>
    <m/>
    <m/>
    <s v="Yes"/>
    <s v="Changed Mind"/>
    <m/>
    <m/>
    <m/>
    <n v="0"/>
    <n v="0"/>
    <s v="Detractor"/>
  </r>
  <r>
    <s v="L1443"/>
    <x v="0"/>
    <s v="Warm"/>
    <d v="2025-10-17T00:00:00"/>
    <d v="2025-10-18T00:00:00"/>
    <d v="2025-10-19T00:00:00"/>
    <d v="2025-10-25T00:00:00"/>
    <s v="No"/>
    <m/>
    <d v="2025-11-20T00:00:00"/>
    <n v="6"/>
    <n v="1"/>
    <n v="1"/>
    <n v="6"/>
    <s v="Detractor"/>
  </r>
  <r>
    <s v="L1444"/>
    <x v="0"/>
    <s v="Hot"/>
    <d v="2025-10-24T00:00:00"/>
    <d v="2025-10-26T00:00:00"/>
    <d v="2025-10-29T00:00:00"/>
    <d v="2025-11-04T00:00:00"/>
    <s v="Yes"/>
    <s v="Other"/>
    <m/>
    <m/>
    <n v="2"/>
    <n v="3"/>
    <n v="6"/>
    <s v="Detractor"/>
  </r>
  <r>
    <s v="L1445"/>
    <x v="1"/>
    <s v="Hot"/>
    <d v="2025-10-29T00:00:00"/>
    <d v="2025-11-01T00:00:00"/>
    <d v="2025-11-05T00:00:00"/>
    <d v="2025-11-11T00:00:00"/>
    <s v="No"/>
    <m/>
    <d v="2025-12-02T00:00:00"/>
    <n v="3"/>
    <n v="3"/>
    <n v="4"/>
    <n v="6"/>
    <s v="Detractor"/>
  </r>
  <r>
    <s v="L1446"/>
    <x v="3"/>
    <s v="Cold"/>
    <d v="2025-10-05T00:00:00"/>
    <m/>
    <m/>
    <m/>
    <s v="Yes"/>
    <s v="Price"/>
    <m/>
    <m/>
    <m/>
    <n v="0"/>
    <n v="0"/>
    <s v="Detractor"/>
  </r>
  <r>
    <s v="L1447"/>
    <x v="1"/>
    <s v="Cold"/>
    <d v="2025-10-28T00:00:00"/>
    <m/>
    <m/>
    <m/>
    <s v="Yes"/>
    <s v="Model Unavailable"/>
    <m/>
    <m/>
    <m/>
    <n v="0"/>
    <n v="0"/>
    <s v="Detractor"/>
  </r>
  <r>
    <s v="L1448"/>
    <x v="2"/>
    <s v="Warm"/>
    <d v="2025-10-03T00:00:00"/>
    <d v="2025-10-07T00:00:00"/>
    <d v="2025-10-12T00:00:00"/>
    <d v="2025-10-19T00:00:00"/>
    <s v="No"/>
    <m/>
    <d v="2025-10-30T00:00:00"/>
    <n v="3"/>
    <n v="4"/>
    <n v="5"/>
    <n v="7"/>
    <s v="Detractor"/>
  </r>
  <r>
    <s v="L1449"/>
    <x v="0"/>
    <s v="Hot"/>
    <d v="2025-10-09T00:00:00"/>
    <d v="2025-10-14T00:00:00"/>
    <d v="2025-10-17T00:00:00"/>
    <d v="2025-10-23T00:00:00"/>
    <s v="No"/>
    <m/>
    <d v="2025-11-18T00:00:00"/>
    <n v="3"/>
    <n v="5"/>
    <n v="3"/>
    <n v="6"/>
    <s v="Detractor"/>
  </r>
  <r>
    <s v="L1450"/>
    <x v="0"/>
    <s v="Warm"/>
    <d v="2025-10-25T00:00:00"/>
    <d v="2025-10-27T00:00:00"/>
    <d v="2025-10-31T00:00:00"/>
    <d v="2025-11-04T00:00:00"/>
    <s v="No"/>
    <m/>
    <d v="2025-11-19T00:00:00"/>
    <n v="0"/>
    <n v="2"/>
    <n v="4"/>
    <n v="4"/>
    <s v="Detractor"/>
  </r>
  <r>
    <s v="L1451"/>
    <x v="0"/>
    <s v="Cold"/>
    <d v="2025-10-26T00:00:00"/>
    <m/>
    <m/>
    <m/>
    <s v="Yes"/>
    <s v="Other"/>
    <m/>
    <m/>
    <m/>
    <n v="0"/>
    <n v="0"/>
    <s v="Detractor"/>
  </r>
  <r>
    <s v="L1452"/>
    <x v="2"/>
    <s v="Warm"/>
    <d v="2025-10-28T00:00:00"/>
    <d v="2025-11-01T00:00:00"/>
    <d v="2025-11-05T00:00:00"/>
    <d v="2025-11-12T00:00:00"/>
    <s v="No"/>
    <m/>
    <d v="2025-11-24T00:00:00"/>
    <n v="4"/>
    <n v="4"/>
    <n v="4"/>
    <n v="7"/>
    <s v="Detractor"/>
  </r>
  <r>
    <s v="L1453"/>
    <x v="2"/>
    <s v="Cold"/>
    <d v="2025-10-14T00:00:00"/>
    <m/>
    <m/>
    <m/>
    <s v="Yes"/>
    <s v="Other"/>
    <m/>
    <m/>
    <m/>
    <n v="0"/>
    <n v="0"/>
    <s v="Detractor"/>
  </r>
  <r>
    <s v="L1454"/>
    <x v="1"/>
    <s v="Cold"/>
    <d v="2025-10-11T00:00:00"/>
    <m/>
    <m/>
    <m/>
    <s v="Yes"/>
    <s v="Changed Mind"/>
    <m/>
    <m/>
    <m/>
    <n v="0"/>
    <n v="0"/>
    <s v="Detractor"/>
  </r>
  <r>
    <s v="L1455"/>
    <x v="1"/>
    <s v="Warm"/>
    <d v="2025-10-30T00:00:00"/>
    <d v="2025-10-31T00:00:00"/>
    <d v="2025-11-02T00:00:00"/>
    <d v="2025-11-04T00:00:00"/>
    <s v="No"/>
    <m/>
    <d v="2025-11-23T00:00:00"/>
    <n v="9"/>
    <n v="1"/>
    <n v="2"/>
    <n v="2"/>
    <s v="Promoter"/>
  </r>
  <r>
    <s v="L1456"/>
    <x v="1"/>
    <s v="Warm"/>
    <d v="2025-10-26T00:00:00"/>
    <d v="2025-10-28T00:00:00"/>
    <d v="2025-10-31T00:00:00"/>
    <d v="2025-11-07T00:00:00"/>
    <s v="Yes"/>
    <s v="Financing Issue"/>
    <m/>
    <m/>
    <n v="2"/>
    <n v="3"/>
    <n v="7"/>
    <s v="Detractor"/>
  </r>
  <r>
    <s v="L1457"/>
    <x v="3"/>
    <s v="Warm"/>
    <d v="2025-10-17T00:00:00"/>
    <d v="2025-10-21T00:00:00"/>
    <d v="2025-10-25T00:00:00"/>
    <d v="2025-10-29T00:00:00"/>
    <s v="No"/>
    <m/>
    <d v="2025-11-24T00:00:00"/>
    <n v="5"/>
    <n v="4"/>
    <n v="4"/>
    <n v="4"/>
    <s v="Detractor"/>
  </r>
  <r>
    <s v="L1458"/>
    <x v="0"/>
    <s v="Hot"/>
    <d v="2025-10-09T00:00:00"/>
    <d v="2025-10-12T00:00:00"/>
    <d v="2025-10-14T00:00:00"/>
    <d v="2025-10-17T00:00:00"/>
    <s v="No"/>
    <m/>
    <d v="2025-11-08T00:00:00"/>
    <n v="5"/>
    <n v="3"/>
    <n v="2"/>
    <n v="3"/>
    <s v="Detractor"/>
  </r>
  <r>
    <s v="L1459"/>
    <x v="0"/>
    <s v="Warm"/>
    <d v="2025-10-27T00:00:00"/>
    <d v="2025-10-28T00:00:00"/>
    <d v="2025-11-02T00:00:00"/>
    <d v="2025-11-08T00:00:00"/>
    <s v="No"/>
    <m/>
    <d v="2025-11-22T00:00:00"/>
    <n v="1"/>
    <n v="1"/>
    <n v="5"/>
    <n v="6"/>
    <s v="Detractor"/>
  </r>
  <r>
    <s v="L1460"/>
    <x v="1"/>
    <s v="Warm"/>
    <d v="2025-10-01T00:00:00"/>
    <d v="2025-10-05T00:00:00"/>
    <d v="2025-10-09T00:00:00"/>
    <d v="2025-10-15T00:00:00"/>
    <s v="Yes"/>
    <s v="Financing Issue"/>
    <m/>
    <m/>
    <n v="4"/>
    <n v="4"/>
    <n v="6"/>
    <s v="Detractor"/>
  </r>
  <r>
    <s v="L1461"/>
    <x v="0"/>
    <s v="Cold"/>
    <d v="2025-10-10T00:00:00"/>
    <m/>
    <m/>
    <m/>
    <s v="Yes"/>
    <s v="Changed Mind"/>
    <m/>
    <m/>
    <m/>
    <n v="0"/>
    <n v="0"/>
    <s v="Detractor"/>
  </r>
  <r>
    <s v="L1462"/>
    <x v="1"/>
    <s v="Cold"/>
    <d v="2025-10-24T00:00:00"/>
    <m/>
    <m/>
    <m/>
    <s v="Yes"/>
    <s v="Changed Mind"/>
    <m/>
    <m/>
    <m/>
    <n v="0"/>
    <n v="0"/>
    <s v="Detractor"/>
  </r>
  <r>
    <s v="L1463"/>
    <x v="3"/>
    <s v="Warm"/>
    <d v="2025-10-10T00:00:00"/>
    <d v="2025-10-11T00:00:00"/>
    <d v="2025-10-13T00:00:00"/>
    <d v="2025-10-19T00:00:00"/>
    <s v="No"/>
    <m/>
    <d v="2025-11-14T00:00:00"/>
    <n v="1"/>
    <n v="1"/>
    <n v="2"/>
    <n v="6"/>
    <s v="Detractor"/>
  </r>
  <r>
    <s v="L1464"/>
    <x v="3"/>
    <s v="Hot"/>
    <d v="2025-10-27T00:00:00"/>
    <d v="2025-10-31T00:00:00"/>
    <d v="2025-11-02T00:00:00"/>
    <d v="2025-11-05T00:00:00"/>
    <s v="No"/>
    <m/>
    <d v="2025-12-03T00:00:00"/>
    <n v="4"/>
    <n v="4"/>
    <n v="2"/>
    <n v="3"/>
    <s v="Detractor"/>
  </r>
  <r>
    <s v="L1465"/>
    <x v="2"/>
    <s v="Hot"/>
    <d v="2025-10-19T00:00:00"/>
    <d v="2025-10-24T00:00:00"/>
    <d v="2025-10-27T00:00:00"/>
    <d v="2025-11-03T00:00:00"/>
    <s v="No"/>
    <m/>
    <d v="2025-11-13T00:00:00"/>
    <n v="4"/>
    <n v="5"/>
    <n v="3"/>
    <n v="7"/>
    <s v="Detractor"/>
  </r>
  <r>
    <s v="L1466"/>
    <x v="3"/>
    <s v="Hot"/>
    <d v="2025-10-19T00:00:00"/>
    <d v="2025-10-22T00:00:00"/>
    <d v="2025-10-24T00:00:00"/>
    <d v="2025-10-29T00:00:00"/>
    <s v="No"/>
    <m/>
    <d v="2025-11-13T00:00:00"/>
    <n v="1"/>
    <n v="3"/>
    <n v="2"/>
    <n v="5"/>
    <s v="Detractor"/>
  </r>
  <r>
    <s v="L1467"/>
    <x v="1"/>
    <s v="Warm"/>
    <d v="2025-10-22T00:00:00"/>
    <d v="2025-10-24T00:00:00"/>
    <d v="2025-10-28T00:00:00"/>
    <d v="2025-11-01T00:00:00"/>
    <s v="No"/>
    <m/>
    <d v="2025-11-17T00:00:00"/>
    <n v="1"/>
    <n v="2"/>
    <n v="4"/>
    <n v="4"/>
    <s v="Detractor"/>
  </r>
  <r>
    <s v="L1468"/>
    <x v="3"/>
    <s v="Warm"/>
    <d v="2025-10-16T00:00:00"/>
    <d v="2025-10-20T00:00:00"/>
    <d v="2025-10-21T00:00:00"/>
    <d v="2025-10-28T00:00:00"/>
    <s v="No"/>
    <m/>
    <d v="2025-11-13T00:00:00"/>
    <n v="0"/>
    <n v="4"/>
    <n v="1"/>
    <n v="7"/>
    <s v="Detractor"/>
  </r>
  <r>
    <s v="L1469"/>
    <x v="2"/>
    <s v="Cold"/>
    <d v="2025-10-28T00:00:00"/>
    <m/>
    <m/>
    <m/>
    <s v="Yes"/>
    <s v="Changed Mind"/>
    <m/>
    <m/>
    <m/>
    <n v="0"/>
    <n v="0"/>
    <s v="Detractor"/>
  </r>
  <r>
    <s v="L1470"/>
    <x v="0"/>
    <s v="Warm"/>
    <d v="2025-10-05T00:00:00"/>
    <d v="2025-10-06T00:00:00"/>
    <d v="2025-10-11T00:00:00"/>
    <d v="2025-10-13T00:00:00"/>
    <s v="No"/>
    <m/>
    <d v="2025-10-24T00:00:00"/>
    <n v="7"/>
    <n v="1"/>
    <n v="5"/>
    <n v="2"/>
    <s v="Passive"/>
  </r>
  <r>
    <s v="L1471"/>
    <x v="1"/>
    <s v="Cold"/>
    <d v="2025-10-15T00:00:00"/>
    <m/>
    <m/>
    <m/>
    <s v="Yes"/>
    <s v="Financing Issue"/>
    <m/>
    <m/>
    <m/>
    <n v="0"/>
    <n v="0"/>
    <s v="Detractor"/>
  </r>
  <r>
    <s v="L1472"/>
    <x v="0"/>
    <s v="Cold"/>
    <d v="2025-10-18T00:00:00"/>
    <m/>
    <m/>
    <m/>
    <s v="Yes"/>
    <s v="Changed Mind"/>
    <m/>
    <m/>
    <m/>
    <n v="0"/>
    <n v="0"/>
    <s v="Detractor"/>
  </r>
  <r>
    <s v="L1473"/>
    <x v="2"/>
    <s v="Warm"/>
    <d v="2025-10-16T00:00:00"/>
    <d v="2025-10-19T00:00:00"/>
    <d v="2025-10-23T00:00:00"/>
    <d v="2025-10-26T00:00:00"/>
    <s v="No"/>
    <m/>
    <d v="2025-11-12T00:00:00"/>
    <n v="8"/>
    <n v="3"/>
    <n v="4"/>
    <n v="3"/>
    <s v="Passive"/>
  </r>
  <r>
    <s v="L1474"/>
    <x v="2"/>
    <s v="Cold"/>
    <d v="2025-10-12T00:00:00"/>
    <m/>
    <m/>
    <m/>
    <s v="Yes"/>
    <s v="Price"/>
    <m/>
    <m/>
    <m/>
    <n v="0"/>
    <n v="0"/>
    <s v="Detractor"/>
  </r>
  <r>
    <s v="L1475"/>
    <x v="2"/>
    <s v="Warm"/>
    <d v="2025-10-11T00:00:00"/>
    <d v="2025-10-13T00:00:00"/>
    <d v="2025-10-17T00:00:00"/>
    <d v="2025-10-22T00:00:00"/>
    <s v="Yes"/>
    <s v="Other"/>
    <m/>
    <m/>
    <n v="2"/>
    <n v="4"/>
    <n v="5"/>
    <s v="Detractor"/>
  </r>
  <r>
    <s v="L1476"/>
    <x v="0"/>
    <s v="Hot"/>
    <d v="2025-10-18T00:00:00"/>
    <d v="2025-10-19T00:00:00"/>
    <d v="2025-10-24T00:00:00"/>
    <d v="2025-10-29T00:00:00"/>
    <s v="No"/>
    <m/>
    <d v="2025-11-09T00:00:00"/>
    <n v="2"/>
    <n v="1"/>
    <n v="5"/>
    <n v="5"/>
    <s v="Detractor"/>
  </r>
  <r>
    <s v="L1477"/>
    <x v="0"/>
    <s v="Warm"/>
    <d v="2025-10-25T00:00:00"/>
    <d v="2025-10-28T00:00:00"/>
    <d v="2025-11-02T00:00:00"/>
    <d v="2025-11-04T00:00:00"/>
    <s v="Yes"/>
    <s v="Other"/>
    <m/>
    <m/>
    <n v="3"/>
    <n v="5"/>
    <n v="2"/>
    <s v="Detractor"/>
  </r>
  <r>
    <s v="L1478"/>
    <x v="0"/>
    <s v="Warm"/>
    <d v="2025-10-18T00:00:00"/>
    <d v="2025-10-19T00:00:00"/>
    <d v="2025-10-21T00:00:00"/>
    <d v="2025-10-24T00:00:00"/>
    <s v="No"/>
    <m/>
    <d v="2025-11-17T00:00:00"/>
    <n v="7"/>
    <n v="1"/>
    <n v="2"/>
    <n v="3"/>
    <s v="Passive"/>
  </r>
  <r>
    <s v="L1479"/>
    <x v="0"/>
    <s v="Warm"/>
    <d v="2025-10-13T00:00:00"/>
    <d v="2025-10-16T00:00:00"/>
    <d v="2025-10-20T00:00:00"/>
    <d v="2025-10-25T00:00:00"/>
    <s v="Yes"/>
    <s v="Model Unavailable"/>
    <m/>
    <m/>
    <n v="3"/>
    <n v="4"/>
    <n v="5"/>
    <s v="Detractor"/>
  </r>
  <r>
    <s v="L1480"/>
    <x v="2"/>
    <s v="Warm"/>
    <d v="2025-10-15T00:00:00"/>
    <d v="2025-10-17T00:00:00"/>
    <d v="2025-10-19T00:00:00"/>
    <d v="2025-10-26T00:00:00"/>
    <s v="No"/>
    <m/>
    <d v="2025-11-06T00:00:00"/>
    <n v="2"/>
    <n v="2"/>
    <n v="2"/>
    <n v="7"/>
    <s v="Detractor"/>
  </r>
  <r>
    <s v="L1481"/>
    <x v="2"/>
    <s v="Warm"/>
    <d v="2025-10-30T00:00:00"/>
    <d v="2025-11-01T00:00:00"/>
    <d v="2025-11-04T00:00:00"/>
    <d v="2025-11-10T00:00:00"/>
    <s v="No"/>
    <m/>
    <d v="2025-12-01T00:00:00"/>
    <n v="8"/>
    <n v="2"/>
    <n v="3"/>
    <n v="6"/>
    <s v="Passive"/>
  </r>
  <r>
    <s v="L1482"/>
    <x v="1"/>
    <s v="Warm"/>
    <d v="2025-10-11T00:00:00"/>
    <d v="2025-10-12T00:00:00"/>
    <d v="2025-10-14T00:00:00"/>
    <d v="2025-10-16T00:00:00"/>
    <s v="No"/>
    <m/>
    <d v="2025-11-01T00:00:00"/>
    <n v="5"/>
    <n v="1"/>
    <n v="2"/>
    <n v="2"/>
    <s v="Detractor"/>
  </r>
  <r>
    <s v="L1483"/>
    <x v="1"/>
    <s v="Warm"/>
    <d v="2025-10-28T00:00:00"/>
    <d v="2025-10-31T00:00:00"/>
    <d v="2025-11-03T00:00:00"/>
    <d v="2025-11-09T00:00:00"/>
    <s v="No"/>
    <m/>
    <d v="2025-11-27T00:00:00"/>
    <n v="5"/>
    <n v="3"/>
    <n v="3"/>
    <n v="6"/>
    <s v="Detractor"/>
  </r>
  <r>
    <s v="L1484"/>
    <x v="0"/>
    <s v="Warm"/>
    <d v="2025-10-07T00:00:00"/>
    <d v="2025-10-11T00:00:00"/>
    <d v="2025-10-12T00:00:00"/>
    <d v="2025-10-14T00:00:00"/>
    <s v="No"/>
    <m/>
    <d v="2025-11-04T00:00:00"/>
    <n v="6"/>
    <n v="4"/>
    <n v="1"/>
    <n v="2"/>
    <s v="Detractor"/>
  </r>
  <r>
    <s v="L1485"/>
    <x v="3"/>
    <s v="Warm"/>
    <d v="2025-10-23T00:00:00"/>
    <d v="2025-10-25T00:00:00"/>
    <d v="2025-10-29T00:00:00"/>
    <d v="2025-11-02T00:00:00"/>
    <s v="Yes"/>
    <s v="Model Unavailable"/>
    <m/>
    <m/>
    <n v="2"/>
    <n v="4"/>
    <n v="4"/>
    <s v="Detractor"/>
  </r>
  <r>
    <s v="L1486"/>
    <x v="3"/>
    <s v="Warm"/>
    <d v="2025-10-08T00:00:00"/>
    <d v="2025-10-12T00:00:00"/>
    <d v="2025-10-15T00:00:00"/>
    <d v="2025-10-19T00:00:00"/>
    <s v="No"/>
    <m/>
    <d v="2025-11-12T00:00:00"/>
    <n v="9"/>
    <n v="4"/>
    <n v="3"/>
    <n v="4"/>
    <s v="Promoter"/>
  </r>
  <r>
    <s v="L1487"/>
    <x v="2"/>
    <s v="Hot"/>
    <d v="2025-10-19T00:00:00"/>
    <d v="2025-10-23T00:00:00"/>
    <d v="2025-10-24T00:00:00"/>
    <d v="2025-10-27T00:00:00"/>
    <s v="No"/>
    <m/>
    <d v="2025-11-22T00:00:00"/>
    <n v="4"/>
    <n v="4"/>
    <n v="1"/>
    <n v="3"/>
    <s v="Detractor"/>
  </r>
  <r>
    <s v="L1488"/>
    <x v="2"/>
    <s v="Warm"/>
    <d v="2025-10-13T00:00:00"/>
    <d v="2025-10-18T00:00:00"/>
    <d v="2025-10-23T00:00:00"/>
    <d v="2025-10-28T00:00:00"/>
    <s v="No"/>
    <m/>
    <d v="2025-11-19T00:00:00"/>
    <n v="5"/>
    <n v="5"/>
    <n v="5"/>
    <n v="5"/>
    <s v="Detractor"/>
  </r>
  <r>
    <s v="L1489"/>
    <x v="2"/>
    <s v="Hot"/>
    <d v="2025-10-08T00:00:00"/>
    <d v="2025-10-09T00:00:00"/>
    <d v="2025-10-11T00:00:00"/>
    <d v="2025-10-17T00:00:00"/>
    <s v="No"/>
    <m/>
    <d v="2025-11-16T00:00:00"/>
    <n v="2"/>
    <n v="1"/>
    <n v="2"/>
    <n v="6"/>
    <s v="Detractor"/>
  </r>
  <r>
    <s v="L1490"/>
    <x v="1"/>
    <s v="Warm"/>
    <d v="2025-10-28T00:00:00"/>
    <d v="2025-10-29T00:00:00"/>
    <d v="2025-10-30T00:00:00"/>
    <d v="2025-11-04T00:00:00"/>
    <s v="No"/>
    <m/>
    <d v="2025-11-17T00:00:00"/>
    <n v="9"/>
    <n v="1"/>
    <n v="1"/>
    <n v="5"/>
    <s v="Promoter"/>
  </r>
  <r>
    <s v="L1491"/>
    <x v="1"/>
    <s v="Warm"/>
    <d v="2025-10-25T00:00:00"/>
    <d v="2025-10-26T00:00:00"/>
    <d v="2025-10-29T00:00:00"/>
    <d v="2025-11-02T00:00:00"/>
    <s v="Yes"/>
    <s v="Other"/>
    <m/>
    <m/>
    <n v="1"/>
    <n v="3"/>
    <n v="4"/>
    <s v="Detractor"/>
  </r>
  <r>
    <s v="L1492"/>
    <x v="2"/>
    <s v="Warm"/>
    <d v="2025-10-14T00:00:00"/>
    <d v="2025-10-17T00:00:00"/>
    <d v="2025-10-21T00:00:00"/>
    <d v="2025-10-27T00:00:00"/>
    <s v="No"/>
    <m/>
    <d v="2025-11-06T00:00:00"/>
    <n v="3"/>
    <n v="3"/>
    <n v="4"/>
    <n v="6"/>
    <s v="Detractor"/>
  </r>
  <r>
    <s v="L1493"/>
    <x v="2"/>
    <s v="Warm"/>
    <d v="2025-10-02T00:00:00"/>
    <d v="2025-10-04T00:00:00"/>
    <d v="2025-10-09T00:00:00"/>
    <d v="2025-10-16T00:00:00"/>
    <s v="No"/>
    <m/>
    <d v="2025-11-02T00:00:00"/>
    <n v="1"/>
    <n v="2"/>
    <n v="5"/>
    <n v="7"/>
    <s v="Detractor"/>
  </r>
  <r>
    <s v="L1494"/>
    <x v="2"/>
    <s v="Cold"/>
    <d v="2025-10-11T00:00:00"/>
    <m/>
    <m/>
    <m/>
    <s v="Yes"/>
    <s v="Price"/>
    <m/>
    <m/>
    <m/>
    <n v="0"/>
    <n v="0"/>
    <s v="Detractor"/>
  </r>
  <r>
    <s v="L1495"/>
    <x v="3"/>
    <s v="Cold"/>
    <d v="2025-10-24T00:00:00"/>
    <m/>
    <m/>
    <m/>
    <s v="Yes"/>
    <s v="Financing Issue"/>
    <m/>
    <m/>
    <m/>
    <n v="0"/>
    <n v="0"/>
    <s v="Detractor"/>
  </r>
  <r>
    <s v="L1496"/>
    <x v="1"/>
    <s v="Cold"/>
    <d v="2025-10-16T00:00:00"/>
    <m/>
    <m/>
    <m/>
    <s v="Yes"/>
    <s v="Financing Issue"/>
    <m/>
    <m/>
    <m/>
    <n v="0"/>
    <n v="0"/>
    <s v="Detractor"/>
  </r>
  <r>
    <s v="L1497"/>
    <x v="3"/>
    <s v="Cold"/>
    <d v="2025-10-23T00:00:00"/>
    <m/>
    <m/>
    <m/>
    <s v="Yes"/>
    <s v="Price"/>
    <m/>
    <m/>
    <m/>
    <n v="0"/>
    <n v="0"/>
    <s v="Detractor"/>
  </r>
  <r>
    <s v="L1498"/>
    <x v="3"/>
    <s v="Hot"/>
    <d v="2025-10-30T00:00:00"/>
    <d v="2025-11-01T00:00:00"/>
    <d v="2025-11-06T00:00:00"/>
    <d v="2025-11-09T00:00:00"/>
    <s v="No"/>
    <m/>
    <d v="2025-11-30T00:00:00"/>
    <n v="8"/>
    <n v="2"/>
    <n v="5"/>
    <n v="3"/>
    <s v="Passive"/>
  </r>
  <r>
    <s v="L1499"/>
    <x v="2"/>
    <s v="Hot"/>
    <d v="2025-10-26T00:00:00"/>
    <d v="2025-10-31T00:00:00"/>
    <d v="2025-11-01T00:00:00"/>
    <d v="2025-11-06T00:00:00"/>
    <s v="No"/>
    <m/>
    <d v="2025-12-01T00:00:00"/>
    <n v="7"/>
    <n v="5"/>
    <n v="1"/>
    <n v="5"/>
    <s v="Passive"/>
  </r>
  <r>
    <s v="L1500"/>
    <x v="2"/>
    <s v="Warm"/>
    <d v="2025-10-13T00:00:00"/>
    <d v="2025-10-18T00:00:00"/>
    <d v="2025-10-19T00:00:00"/>
    <d v="2025-10-21T00:00:00"/>
    <s v="No"/>
    <m/>
    <d v="2025-11-19T00:00:00"/>
    <n v="9"/>
    <n v="5"/>
    <n v="1"/>
    <n v="2"/>
    <s v="Promoter"/>
  </r>
  <r>
    <s v="L1501"/>
    <x v="0"/>
    <s v="Hot"/>
    <d v="2025-10-13T00:00:00"/>
    <d v="2025-10-18T00:00:00"/>
    <d v="2025-10-20T00:00:00"/>
    <d v="2025-10-22T00:00:00"/>
    <s v="No"/>
    <m/>
    <d v="2025-11-15T00:00:00"/>
    <n v="4"/>
    <n v="5"/>
    <n v="2"/>
    <n v="2"/>
    <s v="Detractor"/>
  </r>
  <r>
    <s v="L1502"/>
    <x v="0"/>
    <s v="Warm"/>
    <d v="2025-10-22T00:00:00"/>
    <d v="2025-10-26T00:00:00"/>
    <d v="2025-10-31T00:00:00"/>
    <d v="2025-11-06T00:00:00"/>
    <s v="No"/>
    <m/>
    <d v="2025-11-21T00:00:00"/>
    <n v="5"/>
    <n v="4"/>
    <n v="5"/>
    <n v="6"/>
    <s v="Detractor"/>
  </r>
  <r>
    <s v="L1503"/>
    <x v="3"/>
    <s v="Warm"/>
    <d v="2025-10-26T00:00:00"/>
    <d v="2025-10-27T00:00:00"/>
    <d v="2025-11-01T00:00:00"/>
    <d v="2025-11-03T00:00:00"/>
    <s v="No"/>
    <m/>
    <d v="2025-11-28T00:00:00"/>
    <n v="10"/>
    <n v="1"/>
    <n v="5"/>
    <n v="2"/>
    <s v="Promoter"/>
  </r>
  <r>
    <s v="L1504"/>
    <x v="1"/>
    <s v="Warm"/>
    <d v="2025-10-27T00:00:00"/>
    <d v="2025-10-30T00:00:00"/>
    <d v="2025-11-01T00:00:00"/>
    <d v="2025-11-03T00:00:00"/>
    <s v="No"/>
    <m/>
    <d v="2025-12-01T00:00:00"/>
    <n v="1"/>
    <n v="3"/>
    <n v="2"/>
    <n v="2"/>
    <s v="Detractor"/>
  </r>
  <r>
    <s v="L1505"/>
    <x v="2"/>
    <s v="Warm"/>
    <d v="2025-10-21T00:00:00"/>
    <d v="2025-10-23T00:00:00"/>
    <d v="2025-10-27T00:00:00"/>
    <d v="2025-10-31T00:00:00"/>
    <s v="No"/>
    <m/>
    <d v="2025-11-27T00:00:00"/>
    <n v="10"/>
    <n v="2"/>
    <n v="4"/>
    <n v="4"/>
    <s v="Promoter"/>
  </r>
  <r>
    <s v="L1506"/>
    <x v="2"/>
    <s v="Warm"/>
    <d v="2025-10-05T00:00:00"/>
    <d v="2025-10-08T00:00:00"/>
    <d v="2025-10-10T00:00:00"/>
    <d v="2025-10-13T00:00:00"/>
    <s v="No"/>
    <m/>
    <d v="2025-11-03T00:00:00"/>
    <n v="5"/>
    <n v="3"/>
    <n v="2"/>
    <n v="3"/>
    <s v="Detractor"/>
  </r>
  <r>
    <s v="L1507"/>
    <x v="3"/>
    <s v="Warm"/>
    <d v="2025-10-16T00:00:00"/>
    <d v="2025-10-17T00:00:00"/>
    <d v="2025-10-20T00:00:00"/>
    <d v="2025-10-22T00:00:00"/>
    <s v="No"/>
    <m/>
    <d v="2025-11-12T00:00:00"/>
    <n v="5"/>
    <n v="1"/>
    <n v="3"/>
    <n v="2"/>
    <s v="Detractor"/>
  </r>
  <r>
    <s v="L1508"/>
    <x v="0"/>
    <s v="Cold"/>
    <d v="2025-10-31T00:00:00"/>
    <m/>
    <m/>
    <m/>
    <s v="Yes"/>
    <s v="Financing Issue"/>
    <m/>
    <m/>
    <m/>
    <n v="0"/>
    <n v="0"/>
    <s v="Detractor"/>
  </r>
  <r>
    <s v="L1509"/>
    <x v="1"/>
    <s v="Warm"/>
    <d v="2025-10-02T00:00:00"/>
    <d v="2025-10-03T00:00:00"/>
    <d v="2025-10-06T00:00:00"/>
    <d v="2025-10-08T00:00:00"/>
    <s v="No"/>
    <m/>
    <d v="2025-10-23T00:00:00"/>
    <n v="7"/>
    <n v="1"/>
    <n v="3"/>
    <n v="2"/>
    <s v="Passive"/>
  </r>
  <r>
    <s v="L1510"/>
    <x v="0"/>
    <s v="Cold"/>
    <d v="2025-10-05T00:00:00"/>
    <m/>
    <m/>
    <m/>
    <s v="Yes"/>
    <s v="Changed Mind"/>
    <m/>
    <m/>
    <m/>
    <n v="0"/>
    <n v="0"/>
    <s v="Detractor"/>
  </r>
  <r>
    <s v="L1511"/>
    <x v="0"/>
    <s v="Hot"/>
    <d v="2025-10-17T00:00:00"/>
    <d v="2025-10-19T00:00:00"/>
    <d v="2025-10-20T00:00:00"/>
    <d v="2025-10-25T00:00:00"/>
    <s v="No"/>
    <m/>
    <d v="2025-11-12T00:00:00"/>
    <n v="7"/>
    <n v="2"/>
    <n v="1"/>
    <n v="5"/>
    <s v="Passive"/>
  </r>
  <r>
    <s v="L1512"/>
    <x v="0"/>
    <s v="Cold"/>
    <d v="2025-10-31T00:00:00"/>
    <m/>
    <m/>
    <m/>
    <s v="Yes"/>
    <s v="Other"/>
    <m/>
    <m/>
    <m/>
    <n v="0"/>
    <n v="0"/>
    <s v="Detractor"/>
  </r>
  <r>
    <s v="L1513"/>
    <x v="0"/>
    <s v="Warm"/>
    <d v="2025-10-19T00:00:00"/>
    <d v="2025-10-23T00:00:00"/>
    <d v="2025-10-25T00:00:00"/>
    <d v="2025-10-31T00:00:00"/>
    <s v="No"/>
    <m/>
    <d v="2025-11-12T00:00:00"/>
    <n v="3"/>
    <n v="4"/>
    <n v="2"/>
    <n v="6"/>
    <s v="Detractor"/>
  </r>
  <r>
    <s v="L1514"/>
    <x v="2"/>
    <s v="Warm"/>
    <d v="2025-10-11T00:00:00"/>
    <d v="2025-10-16T00:00:00"/>
    <d v="2025-10-18T00:00:00"/>
    <d v="2025-10-22T00:00:00"/>
    <s v="No"/>
    <m/>
    <d v="2025-11-10T00:00:00"/>
    <n v="5"/>
    <n v="5"/>
    <n v="2"/>
    <n v="4"/>
    <s v="Detractor"/>
  </r>
  <r>
    <s v="L1515"/>
    <x v="2"/>
    <s v="Hot"/>
    <d v="2025-10-28T00:00:00"/>
    <d v="2025-11-01T00:00:00"/>
    <d v="2025-11-02T00:00:00"/>
    <d v="2025-11-09T00:00:00"/>
    <s v="Yes"/>
    <s v="Other"/>
    <m/>
    <m/>
    <n v="4"/>
    <n v="1"/>
    <n v="7"/>
    <s v="Detractor"/>
  </r>
  <r>
    <s v="L1516"/>
    <x v="0"/>
    <s v="Warm"/>
    <d v="2025-10-04T00:00:00"/>
    <d v="2025-10-05T00:00:00"/>
    <d v="2025-10-09T00:00:00"/>
    <d v="2025-10-16T00:00:00"/>
    <s v="No"/>
    <m/>
    <d v="2025-10-26T00:00:00"/>
    <n v="2"/>
    <n v="1"/>
    <n v="4"/>
    <n v="7"/>
    <s v="Detractor"/>
  </r>
  <r>
    <s v="L1517"/>
    <x v="1"/>
    <s v="Hot"/>
    <d v="2025-10-28T00:00:00"/>
    <d v="2025-10-29T00:00:00"/>
    <d v="2025-10-31T00:00:00"/>
    <d v="2025-11-06T00:00:00"/>
    <s v="No"/>
    <m/>
    <d v="2025-11-28T00:00:00"/>
    <n v="1"/>
    <n v="1"/>
    <n v="2"/>
    <n v="6"/>
    <s v="Detractor"/>
  </r>
  <r>
    <s v="L1518"/>
    <x v="3"/>
    <s v="Hot"/>
    <d v="2025-10-28T00:00:00"/>
    <d v="2025-11-01T00:00:00"/>
    <d v="2025-11-06T00:00:00"/>
    <d v="2025-11-11T00:00:00"/>
    <s v="No"/>
    <m/>
    <d v="2025-11-22T00:00:00"/>
    <n v="10"/>
    <n v="4"/>
    <n v="5"/>
    <n v="5"/>
    <s v="Promoter"/>
  </r>
  <r>
    <s v="L1519"/>
    <x v="1"/>
    <s v="Warm"/>
    <d v="2025-10-15T00:00:00"/>
    <d v="2025-10-20T00:00:00"/>
    <d v="2025-10-22T00:00:00"/>
    <d v="2025-10-27T00:00:00"/>
    <s v="No"/>
    <m/>
    <d v="2025-11-11T00:00:00"/>
    <n v="6"/>
    <n v="5"/>
    <n v="2"/>
    <n v="5"/>
    <s v="Detractor"/>
  </r>
  <r>
    <s v="L1520"/>
    <x v="1"/>
    <s v="Warm"/>
    <d v="2025-10-04T00:00:00"/>
    <d v="2025-10-09T00:00:00"/>
    <d v="2025-10-13T00:00:00"/>
    <d v="2025-10-20T00:00:00"/>
    <s v="No"/>
    <m/>
    <d v="2025-11-17T00:00:00"/>
    <n v="7"/>
    <n v="5"/>
    <n v="4"/>
    <n v="7"/>
    <s v="Passive"/>
  </r>
  <r>
    <s v="L1521"/>
    <x v="1"/>
    <s v="Warm"/>
    <d v="2025-10-17T00:00:00"/>
    <d v="2025-10-18T00:00:00"/>
    <d v="2025-10-20T00:00:00"/>
    <d v="2025-10-25T00:00:00"/>
    <s v="No"/>
    <m/>
    <d v="2025-11-10T00:00:00"/>
    <n v="4"/>
    <n v="1"/>
    <n v="2"/>
    <n v="5"/>
    <s v="Detractor"/>
  </r>
  <r>
    <s v="L1522"/>
    <x v="0"/>
    <s v="Cold"/>
    <d v="2025-10-30T00:00:00"/>
    <m/>
    <m/>
    <m/>
    <s v="Yes"/>
    <s v="Price"/>
    <m/>
    <m/>
    <m/>
    <n v="0"/>
    <n v="0"/>
    <s v="Detractor"/>
  </r>
  <r>
    <s v="L1523"/>
    <x v="2"/>
    <s v="Warm"/>
    <d v="2025-10-15T00:00:00"/>
    <d v="2025-10-20T00:00:00"/>
    <d v="2025-10-25T00:00:00"/>
    <d v="2025-10-27T00:00:00"/>
    <s v="No"/>
    <m/>
    <d v="2025-11-13T00:00:00"/>
    <n v="4"/>
    <n v="5"/>
    <n v="5"/>
    <n v="2"/>
    <s v="Detractor"/>
  </r>
  <r>
    <s v="L1524"/>
    <x v="1"/>
    <s v="Warm"/>
    <d v="2025-10-01T00:00:00"/>
    <d v="2025-10-06T00:00:00"/>
    <d v="2025-10-09T00:00:00"/>
    <d v="2025-10-16T00:00:00"/>
    <s v="No"/>
    <m/>
    <d v="2025-11-15T00:00:00"/>
    <n v="8"/>
    <n v="5"/>
    <n v="3"/>
    <n v="7"/>
    <s v="Passive"/>
  </r>
  <r>
    <s v="L1525"/>
    <x v="0"/>
    <s v="Hot"/>
    <d v="2025-10-24T00:00:00"/>
    <d v="2025-10-26T00:00:00"/>
    <d v="2025-10-29T00:00:00"/>
    <d v="2025-11-04T00:00:00"/>
    <s v="No"/>
    <m/>
    <d v="2025-11-21T00:00:00"/>
    <n v="8"/>
    <n v="2"/>
    <n v="3"/>
    <n v="6"/>
    <s v="Passive"/>
  </r>
  <r>
    <s v="L1526"/>
    <x v="1"/>
    <s v="Warm"/>
    <d v="2025-10-05T00:00:00"/>
    <d v="2025-10-07T00:00:00"/>
    <d v="2025-10-11T00:00:00"/>
    <d v="2025-10-17T00:00:00"/>
    <s v="No"/>
    <m/>
    <d v="2025-11-02T00:00:00"/>
    <n v="6"/>
    <n v="2"/>
    <n v="4"/>
    <n v="6"/>
    <s v="Detractor"/>
  </r>
  <r>
    <s v="L1527"/>
    <x v="1"/>
    <s v="Warm"/>
    <d v="2025-10-14T00:00:00"/>
    <d v="2025-10-17T00:00:00"/>
    <d v="2025-10-21T00:00:00"/>
    <d v="2025-10-27T00:00:00"/>
    <s v="No"/>
    <m/>
    <d v="2025-11-14T00:00:00"/>
    <n v="4"/>
    <n v="3"/>
    <n v="4"/>
    <n v="6"/>
    <s v="Detractor"/>
  </r>
  <r>
    <s v="L1528"/>
    <x v="0"/>
    <s v="Cold"/>
    <d v="2025-10-28T00:00:00"/>
    <m/>
    <m/>
    <m/>
    <s v="Yes"/>
    <s v="Financing Issue"/>
    <m/>
    <m/>
    <m/>
    <n v="0"/>
    <n v="0"/>
    <s v="Detractor"/>
  </r>
  <r>
    <s v="L1529"/>
    <x v="2"/>
    <s v="Cold"/>
    <d v="2025-10-21T00:00:00"/>
    <m/>
    <m/>
    <m/>
    <s v="Yes"/>
    <s v="Model Unavailable"/>
    <m/>
    <m/>
    <m/>
    <n v="0"/>
    <n v="0"/>
    <s v="Detractor"/>
  </r>
  <r>
    <s v="L1530"/>
    <x v="2"/>
    <s v="Warm"/>
    <d v="2025-10-05T00:00:00"/>
    <d v="2025-10-09T00:00:00"/>
    <d v="2025-10-14T00:00:00"/>
    <d v="2025-10-17T00:00:00"/>
    <s v="No"/>
    <m/>
    <d v="2025-11-16T00:00:00"/>
    <n v="2"/>
    <n v="4"/>
    <n v="5"/>
    <n v="3"/>
    <s v="Detractor"/>
  </r>
  <r>
    <s v="L1531"/>
    <x v="3"/>
    <s v="Hot"/>
    <d v="2025-10-03T00:00:00"/>
    <d v="2025-10-04T00:00:00"/>
    <d v="2025-10-07T00:00:00"/>
    <d v="2025-10-11T00:00:00"/>
    <s v="No"/>
    <m/>
    <d v="2025-11-03T00:00:00"/>
    <n v="2"/>
    <n v="1"/>
    <n v="3"/>
    <n v="4"/>
    <s v="Detractor"/>
  </r>
  <r>
    <s v="L1532"/>
    <x v="0"/>
    <s v="Cold"/>
    <d v="2025-10-16T00:00:00"/>
    <m/>
    <m/>
    <m/>
    <s v="Yes"/>
    <s v="Model Unavailable"/>
    <m/>
    <m/>
    <m/>
    <n v="0"/>
    <n v="0"/>
    <s v="Detractor"/>
  </r>
  <r>
    <s v="L1533"/>
    <x v="3"/>
    <s v="Warm"/>
    <d v="2025-10-26T00:00:00"/>
    <d v="2025-10-31T00:00:00"/>
    <d v="2025-11-03T00:00:00"/>
    <d v="2025-11-05T00:00:00"/>
    <s v="No"/>
    <m/>
    <d v="2025-12-01T00:00:00"/>
    <n v="1"/>
    <n v="5"/>
    <n v="3"/>
    <n v="2"/>
    <s v="Detractor"/>
  </r>
  <r>
    <s v="L1534"/>
    <x v="3"/>
    <s v="Hot"/>
    <d v="2025-10-09T00:00:00"/>
    <d v="2025-10-12T00:00:00"/>
    <d v="2025-10-15T00:00:00"/>
    <d v="2025-10-19T00:00:00"/>
    <s v="No"/>
    <m/>
    <d v="2025-10-29T00:00:00"/>
    <n v="0"/>
    <n v="3"/>
    <n v="3"/>
    <n v="4"/>
    <s v="Detractor"/>
  </r>
  <r>
    <s v="L1535"/>
    <x v="3"/>
    <s v="Hot"/>
    <d v="2025-10-11T00:00:00"/>
    <d v="2025-10-13T00:00:00"/>
    <d v="2025-10-16T00:00:00"/>
    <d v="2025-10-18T00:00:00"/>
    <s v="Yes"/>
    <s v="Financing Issue"/>
    <m/>
    <m/>
    <n v="2"/>
    <n v="3"/>
    <n v="2"/>
    <s v="Detractor"/>
  </r>
  <r>
    <s v="L1536"/>
    <x v="2"/>
    <s v="Warm"/>
    <d v="2025-10-20T00:00:00"/>
    <d v="2025-10-25T00:00:00"/>
    <d v="2025-10-30T00:00:00"/>
    <d v="2025-11-05T00:00:00"/>
    <s v="No"/>
    <m/>
    <d v="2025-11-15T00:00:00"/>
    <n v="0"/>
    <n v="5"/>
    <n v="5"/>
    <n v="6"/>
    <s v="Detractor"/>
  </r>
  <r>
    <s v="L1537"/>
    <x v="0"/>
    <s v="Hot"/>
    <d v="2025-10-23T00:00:00"/>
    <d v="2025-10-27T00:00:00"/>
    <d v="2025-10-31T00:00:00"/>
    <d v="2025-11-03T00:00:00"/>
    <s v="No"/>
    <m/>
    <d v="2025-11-28T00:00:00"/>
    <n v="3"/>
    <n v="4"/>
    <n v="4"/>
    <n v="3"/>
    <s v="Detractor"/>
  </r>
  <r>
    <s v="L1538"/>
    <x v="3"/>
    <s v="Cold"/>
    <d v="2025-10-13T00:00:00"/>
    <m/>
    <m/>
    <m/>
    <s v="Yes"/>
    <s v="Model Unavailable"/>
    <m/>
    <m/>
    <m/>
    <n v="0"/>
    <n v="0"/>
    <s v="Detractor"/>
  </r>
  <r>
    <s v="L1539"/>
    <x v="0"/>
    <s v="Warm"/>
    <d v="2025-10-21T00:00:00"/>
    <d v="2025-10-23T00:00:00"/>
    <d v="2025-10-27T00:00:00"/>
    <d v="2025-10-30T00:00:00"/>
    <s v="Yes"/>
    <s v="Price"/>
    <m/>
    <m/>
    <n v="2"/>
    <n v="4"/>
    <n v="3"/>
    <s v="Detractor"/>
  </r>
  <r>
    <s v="L1540"/>
    <x v="0"/>
    <s v="Hot"/>
    <d v="2025-10-03T00:00:00"/>
    <d v="2025-10-04T00:00:00"/>
    <d v="2025-10-05T00:00:00"/>
    <d v="2025-10-11T00:00:00"/>
    <s v="No"/>
    <m/>
    <d v="2025-10-25T00:00:00"/>
    <n v="9"/>
    <n v="1"/>
    <n v="1"/>
    <n v="6"/>
    <s v="Promoter"/>
  </r>
  <r>
    <s v="L1541"/>
    <x v="2"/>
    <s v="Cold"/>
    <d v="2025-10-28T00:00:00"/>
    <m/>
    <m/>
    <m/>
    <s v="Yes"/>
    <s v="Price"/>
    <m/>
    <m/>
    <m/>
    <n v="0"/>
    <n v="0"/>
    <s v="Detractor"/>
  </r>
  <r>
    <s v="L1542"/>
    <x v="3"/>
    <s v="Warm"/>
    <d v="2025-10-11T00:00:00"/>
    <d v="2025-10-16T00:00:00"/>
    <d v="2025-10-20T00:00:00"/>
    <d v="2025-10-24T00:00:00"/>
    <s v="No"/>
    <m/>
    <d v="2025-11-23T00:00:00"/>
    <n v="9"/>
    <n v="5"/>
    <n v="4"/>
    <n v="4"/>
    <s v="Promoter"/>
  </r>
  <r>
    <s v="L1543"/>
    <x v="3"/>
    <s v="Warm"/>
    <d v="2025-10-28T00:00:00"/>
    <d v="2025-10-31T00:00:00"/>
    <d v="2025-11-03T00:00:00"/>
    <d v="2025-11-08T00:00:00"/>
    <s v="No"/>
    <m/>
    <d v="2025-11-23T00:00:00"/>
    <n v="4"/>
    <n v="3"/>
    <n v="3"/>
    <n v="5"/>
    <s v="Detractor"/>
  </r>
  <r>
    <s v="L1544"/>
    <x v="0"/>
    <s v="Hot"/>
    <d v="2025-10-22T00:00:00"/>
    <d v="2025-10-23T00:00:00"/>
    <d v="2025-10-25T00:00:00"/>
    <d v="2025-10-31T00:00:00"/>
    <s v="No"/>
    <m/>
    <d v="2025-11-29T00:00:00"/>
    <n v="1"/>
    <n v="1"/>
    <n v="2"/>
    <n v="6"/>
    <s v="Detractor"/>
  </r>
  <r>
    <s v="L1545"/>
    <x v="1"/>
    <s v="Hot"/>
    <d v="2025-10-28T00:00:00"/>
    <d v="2025-11-02T00:00:00"/>
    <d v="2025-11-05T00:00:00"/>
    <d v="2025-11-12T00:00:00"/>
    <s v="No"/>
    <m/>
    <d v="2025-11-22T00:00:00"/>
    <n v="6"/>
    <n v="5"/>
    <n v="3"/>
    <n v="7"/>
    <s v="Detractor"/>
  </r>
  <r>
    <s v="L1546"/>
    <x v="2"/>
    <s v="Warm"/>
    <d v="2025-10-18T00:00:00"/>
    <d v="2025-10-23T00:00:00"/>
    <d v="2025-10-26T00:00:00"/>
    <d v="2025-11-02T00:00:00"/>
    <s v="No"/>
    <m/>
    <d v="2025-11-19T00:00:00"/>
    <n v="3"/>
    <n v="5"/>
    <n v="3"/>
    <n v="7"/>
    <s v="Detractor"/>
  </r>
  <r>
    <s v="L1547"/>
    <x v="2"/>
    <s v="Warm"/>
    <d v="2025-10-13T00:00:00"/>
    <d v="2025-10-18T00:00:00"/>
    <d v="2025-10-22T00:00:00"/>
    <d v="2025-10-29T00:00:00"/>
    <s v="No"/>
    <m/>
    <d v="2025-11-16T00:00:00"/>
    <n v="4"/>
    <n v="5"/>
    <n v="4"/>
    <n v="7"/>
    <s v="Detractor"/>
  </r>
  <r>
    <s v="L1548"/>
    <x v="2"/>
    <s v="Warm"/>
    <d v="2025-10-31T00:00:00"/>
    <d v="2025-11-05T00:00:00"/>
    <d v="2025-11-06T00:00:00"/>
    <d v="2025-11-13T00:00:00"/>
    <s v="No"/>
    <m/>
    <d v="2025-12-12T00:00:00"/>
    <n v="6"/>
    <n v="5"/>
    <n v="1"/>
    <n v="7"/>
    <s v="Detractor"/>
  </r>
  <r>
    <s v="L1549"/>
    <x v="2"/>
    <s v="Warm"/>
    <d v="2025-10-11T00:00:00"/>
    <d v="2025-10-16T00:00:00"/>
    <d v="2025-10-21T00:00:00"/>
    <d v="2025-10-23T00:00:00"/>
    <s v="No"/>
    <m/>
    <d v="2025-11-11T00:00:00"/>
    <n v="5"/>
    <n v="5"/>
    <n v="5"/>
    <n v="2"/>
    <s v="Detractor"/>
  </r>
  <r>
    <s v="L1550"/>
    <x v="3"/>
    <s v="Warm"/>
    <d v="2025-10-21T00:00:00"/>
    <d v="2025-10-22T00:00:00"/>
    <d v="2025-10-24T00:00:00"/>
    <d v="2025-10-28T00:00:00"/>
    <s v="No"/>
    <m/>
    <d v="2025-11-27T00:00:00"/>
    <n v="3"/>
    <n v="1"/>
    <n v="2"/>
    <n v="4"/>
    <s v="Detractor"/>
  </r>
  <r>
    <s v="L1551"/>
    <x v="3"/>
    <s v="Hot"/>
    <d v="2025-10-23T00:00:00"/>
    <d v="2025-10-27T00:00:00"/>
    <d v="2025-10-29T00:00:00"/>
    <d v="2025-11-05T00:00:00"/>
    <s v="No"/>
    <m/>
    <d v="2025-11-23T00:00:00"/>
    <n v="3"/>
    <n v="4"/>
    <n v="2"/>
    <n v="7"/>
    <s v="Detractor"/>
  </r>
  <r>
    <s v="L1552"/>
    <x v="1"/>
    <s v="Warm"/>
    <d v="2025-10-29T00:00:00"/>
    <d v="2025-11-02T00:00:00"/>
    <d v="2025-11-03T00:00:00"/>
    <d v="2025-11-08T00:00:00"/>
    <s v="No"/>
    <m/>
    <d v="2025-12-01T00:00:00"/>
    <n v="9"/>
    <n v="4"/>
    <n v="1"/>
    <n v="5"/>
    <s v="Promoter"/>
  </r>
  <r>
    <s v="L1553"/>
    <x v="2"/>
    <s v="Cold"/>
    <d v="2025-10-25T00:00:00"/>
    <m/>
    <m/>
    <m/>
    <s v="Yes"/>
    <s v="Financing Issue"/>
    <m/>
    <m/>
    <m/>
    <n v="0"/>
    <n v="0"/>
    <s v="Detractor"/>
  </r>
  <r>
    <s v="L1554"/>
    <x v="2"/>
    <s v="Warm"/>
    <d v="2025-10-16T00:00:00"/>
    <d v="2025-10-17T00:00:00"/>
    <d v="2025-10-20T00:00:00"/>
    <d v="2025-10-27T00:00:00"/>
    <s v="No"/>
    <m/>
    <d v="2025-11-18T00:00:00"/>
    <n v="2"/>
    <n v="1"/>
    <n v="3"/>
    <n v="7"/>
    <s v="Detractor"/>
  </r>
  <r>
    <s v="L1555"/>
    <x v="0"/>
    <s v="Warm"/>
    <d v="2025-10-28T00:00:00"/>
    <d v="2025-11-01T00:00:00"/>
    <d v="2025-11-06T00:00:00"/>
    <d v="2025-11-09T00:00:00"/>
    <s v="No"/>
    <m/>
    <d v="2025-11-30T00:00:00"/>
    <n v="8"/>
    <n v="4"/>
    <n v="5"/>
    <n v="3"/>
    <s v="Passive"/>
  </r>
  <r>
    <s v="L1556"/>
    <x v="3"/>
    <s v="Hot"/>
    <d v="2025-10-18T00:00:00"/>
    <d v="2025-10-21T00:00:00"/>
    <d v="2025-10-26T00:00:00"/>
    <d v="2025-10-28T00:00:00"/>
    <s v="No"/>
    <m/>
    <d v="2025-11-21T00:00:00"/>
    <n v="1"/>
    <n v="3"/>
    <n v="5"/>
    <n v="2"/>
    <s v="Detractor"/>
  </r>
  <r>
    <s v="L1557"/>
    <x v="2"/>
    <s v="Warm"/>
    <d v="2025-10-02T00:00:00"/>
    <d v="2025-10-05T00:00:00"/>
    <d v="2025-10-10T00:00:00"/>
    <d v="2025-10-13T00:00:00"/>
    <s v="No"/>
    <m/>
    <d v="2025-10-31T00:00:00"/>
    <n v="2"/>
    <n v="3"/>
    <n v="5"/>
    <n v="3"/>
    <s v="Detractor"/>
  </r>
  <r>
    <s v="L1558"/>
    <x v="1"/>
    <s v="Warm"/>
    <d v="2025-10-20T00:00:00"/>
    <d v="2025-10-21T00:00:00"/>
    <d v="2025-10-25T00:00:00"/>
    <d v="2025-10-27T00:00:00"/>
    <s v="No"/>
    <m/>
    <d v="2025-11-12T00:00:00"/>
    <n v="6"/>
    <n v="1"/>
    <n v="4"/>
    <n v="2"/>
    <s v="Detractor"/>
  </r>
  <r>
    <s v="L1559"/>
    <x v="1"/>
    <s v="Cold"/>
    <d v="2025-10-03T00:00:00"/>
    <m/>
    <m/>
    <m/>
    <s v="Yes"/>
    <s v="Model Unavailable"/>
    <m/>
    <m/>
    <m/>
    <n v="0"/>
    <n v="0"/>
    <s v="Detractor"/>
  </r>
  <r>
    <s v="L1560"/>
    <x v="3"/>
    <s v="Warm"/>
    <d v="2025-10-08T00:00:00"/>
    <d v="2025-10-11T00:00:00"/>
    <d v="2025-10-14T00:00:00"/>
    <d v="2025-10-19T00:00:00"/>
    <s v="No"/>
    <m/>
    <d v="2025-11-12T00:00:00"/>
    <n v="6"/>
    <n v="3"/>
    <n v="3"/>
    <n v="5"/>
    <s v="Detractor"/>
  </r>
  <r>
    <s v="L1561"/>
    <x v="1"/>
    <s v="Cold"/>
    <d v="2025-10-21T00:00:00"/>
    <m/>
    <m/>
    <m/>
    <s v="Yes"/>
    <s v="Price"/>
    <m/>
    <m/>
    <m/>
    <n v="0"/>
    <n v="0"/>
    <s v="Detractor"/>
  </r>
  <r>
    <s v="L1562"/>
    <x v="1"/>
    <s v="Warm"/>
    <d v="2025-10-22T00:00:00"/>
    <d v="2025-10-23T00:00:00"/>
    <d v="2025-10-25T00:00:00"/>
    <d v="2025-10-27T00:00:00"/>
    <s v="No"/>
    <m/>
    <d v="2025-11-15T00:00:00"/>
    <n v="1"/>
    <n v="1"/>
    <n v="2"/>
    <n v="2"/>
    <s v="Detractor"/>
  </r>
  <r>
    <s v="L1563"/>
    <x v="3"/>
    <s v="Hot"/>
    <d v="2025-10-30T00:00:00"/>
    <d v="2025-11-02T00:00:00"/>
    <d v="2025-11-04T00:00:00"/>
    <d v="2025-11-09T00:00:00"/>
    <s v="No"/>
    <m/>
    <d v="2025-12-05T00:00:00"/>
    <n v="3"/>
    <n v="3"/>
    <n v="2"/>
    <n v="5"/>
    <s v="Detractor"/>
  </r>
  <r>
    <s v="L1564"/>
    <x v="2"/>
    <s v="Warm"/>
    <d v="2025-10-10T00:00:00"/>
    <d v="2025-10-12T00:00:00"/>
    <d v="2025-10-15T00:00:00"/>
    <d v="2025-10-21T00:00:00"/>
    <s v="No"/>
    <m/>
    <d v="2025-11-19T00:00:00"/>
    <n v="4"/>
    <n v="2"/>
    <n v="3"/>
    <n v="6"/>
    <s v="Detractor"/>
  </r>
  <r>
    <s v="L1565"/>
    <x v="2"/>
    <s v="Hot"/>
    <d v="2025-10-08T00:00:00"/>
    <d v="2025-10-09T00:00:00"/>
    <d v="2025-10-11T00:00:00"/>
    <d v="2025-10-17T00:00:00"/>
    <s v="No"/>
    <m/>
    <d v="2025-11-08T00:00:00"/>
    <n v="5"/>
    <n v="1"/>
    <n v="2"/>
    <n v="6"/>
    <s v="Detractor"/>
  </r>
  <r>
    <s v="L1566"/>
    <x v="1"/>
    <s v="Hot"/>
    <d v="2025-10-24T00:00:00"/>
    <d v="2025-10-29T00:00:00"/>
    <d v="2025-11-02T00:00:00"/>
    <d v="2025-11-04T00:00:00"/>
    <s v="No"/>
    <m/>
    <d v="2025-12-02T00:00:00"/>
    <n v="3"/>
    <n v="5"/>
    <n v="4"/>
    <n v="2"/>
    <s v="Detractor"/>
  </r>
  <r>
    <s v="L1567"/>
    <x v="1"/>
    <s v="Cold"/>
    <d v="2025-10-03T00:00:00"/>
    <m/>
    <m/>
    <m/>
    <s v="Yes"/>
    <s v="Price"/>
    <m/>
    <m/>
    <m/>
    <n v="0"/>
    <n v="0"/>
    <s v="Detractor"/>
  </r>
  <r>
    <s v="L1568"/>
    <x v="2"/>
    <s v="Warm"/>
    <d v="2025-10-14T00:00:00"/>
    <d v="2025-10-17T00:00:00"/>
    <d v="2025-10-22T00:00:00"/>
    <d v="2025-10-26T00:00:00"/>
    <s v="No"/>
    <m/>
    <d v="2025-11-08T00:00:00"/>
    <n v="9"/>
    <n v="3"/>
    <n v="5"/>
    <n v="4"/>
    <s v="Promoter"/>
  </r>
  <r>
    <s v="L1569"/>
    <x v="3"/>
    <s v="Warm"/>
    <d v="2025-10-04T00:00:00"/>
    <d v="2025-10-06T00:00:00"/>
    <d v="2025-10-08T00:00:00"/>
    <d v="2025-10-15T00:00:00"/>
    <s v="No"/>
    <m/>
    <d v="2025-10-25T00:00:00"/>
    <n v="4"/>
    <n v="2"/>
    <n v="2"/>
    <n v="7"/>
    <s v="Detractor"/>
  </r>
  <r>
    <s v="L1570"/>
    <x v="1"/>
    <s v="Hot"/>
    <d v="2025-10-25T00:00:00"/>
    <d v="2025-10-26T00:00:00"/>
    <d v="2025-10-30T00:00:00"/>
    <d v="2025-11-06T00:00:00"/>
    <s v="No"/>
    <m/>
    <d v="2025-12-02T00:00:00"/>
    <n v="9"/>
    <n v="1"/>
    <n v="4"/>
    <n v="7"/>
    <s v="Promoter"/>
  </r>
  <r>
    <s v="L1571"/>
    <x v="0"/>
    <s v="Warm"/>
    <d v="2025-10-21T00:00:00"/>
    <d v="2025-10-24T00:00:00"/>
    <d v="2025-10-29T00:00:00"/>
    <d v="2025-11-05T00:00:00"/>
    <s v="No"/>
    <m/>
    <d v="2025-11-26T00:00:00"/>
    <n v="2"/>
    <n v="3"/>
    <n v="5"/>
    <n v="7"/>
    <s v="Detractor"/>
  </r>
  <r>
    <s v="L1572"/>
    <x v="3"/>
    <s v="Hot"/>
    <d v="2025-10-23T00:00:00"/>
    <d v="2025-10-28T00:00:00"/>
    <d v="2025-10-31T00:00:00"/>
    <d v="2025-11-07T00:00:00"/>
    <s v="No"/>
    <m/>
    <d v="2025-12-04T00:00:00"/>
    <n v="1"/>
    <n v="5"/>
    <n v="3"/>
    <n v="7"/>
    <s v="Detractor"/>
  </r>
  <r>
    <s v="L1573"/>
    <x v="1"/>
    <s v="Hot"/>
    <d v="2025-10-28T00:00:00"/>
    <d v="2025-10-31T00:00:00"/>
    <d v="2025-11-03T00:00:00"/>
    <d v="2025-11-06T00:00:00"/>
    <s v="No"/>
    <m/>
    <d v="2025-12-06T00:00:00"/>
    <n v="7"/>
    <n v="3"/>
    <n v="3"/>
    <n v="3"/>
    <s v="Passive"/>
  </r>
  <r>
    <s v="L1574"/>
    <x v="1"/>
    <s v="Warm"/>
    <d v="2025-10-04T00:00:00"/>
    <d v="2025-10-06T00:00:00"/>
    <d v="2025-10-10T00:00:00"/>
    <d v="2025-10-12T00:00:00"/>
    <s v="No"/>
    <m/>
    <d v="2025-11-10T00:00:00"/>
    <n v="0"/>
    <n v="2"/>
    <n v="4"/>
    <n v="2"/>
    <s v="Detractor"/>
  </r>
  <r>
    <s v="L1575"/>
    <x v="0"/>
    <s v="Hot"/>
    <d v="2025-10-15T00:00:00"/>
    <d v="2025-10-19T00:00:00"/>
    <d v="2025-10-23T00:00:00"/>
    <d v="2025-10-25T00:00:00"/>
    <s v="No"/>
    <m/>
    <d v="2025-11-23T00:00:00"/>
    <n v="10"/>
    <n v="4"/>
    <n v="4"/>
    <n v="2"/>
    <s v="Promoter"/>
  </r>
  <r>
    <s v="L1576"/>
    <x v="0"/>
    <s v="Warm"/>
    <d v="2025-10-06T00:00:00"/>
    <d v="2025-10-10T00:00:00"/>
    <d v="2025-10-14T00:00:00"/>
    <d v="2025-10-21T00:00:00"/>
    <s v="No"/>
    <m/>
    <d v="2025-11-09T00:00:00"/>
    <n v="7"/>
    <n v="4"/>
    <n v="4"/>
    <n v="7"/>
    <s v="Passive"/>
  </r>
  <r>
    <s v="L1577"/>
    <x v="2"/>
    <s v="Hot"/>
    <d v="2025-10-23T00:00:00"/>
    <d v="2025-10-25T00:00:00"/>
    <d v="2025-10-27T00:00:00"/>
    <d v="2025-10-30T00:00:00"/>
    <s v="No"/>
    <m/>
    <d v="2025-11-18T00:00:00"/>
    <n v="3"/>
    <n v="2"/>
    <n v="2"/>
    <n v="3"/>
    <s v="Detractor"/>
  </r>
  <r>
    <s v="L1578"/>
    <x v="3"/>
    <s v="Hot"/>
    <d v="2025-10-10T00:00:00"/>
    <d v="2025-10-12T00:00:00"/>
    <d v="2025-10-15T00:00:00"/>
    <d v="2025-10-22T00:00:00"/>
    <s v="No"/>
    <m/>
    <d v="2025-11-04T00:00:00"/>
    <n v="6"/>
    <n v="2"/>
    <n v="3"/>
    <n v="7"/>
    <s v="Detractor"/>
  </r>
  <r>
    <s v="L1579"/>
    <x v="3"/>
    <s v="Hot"/>
    <d v="2025-10-29T00:00:00"/>
    <d v="2025-10-30T00:00:00"/>
    <d v="2025-11-01T00:00:00"/>
    <d v="2025-11-03T00:00:00"/>
    <s v="No"/>
    <m/>
    <d v="2025-11-28T00:00:00"/>
    <n v="9"/>
    <n v="1"/>
    <n v="2"/>
    <n v="2"/>
    <s v="Promoter"/>
  </r>
  <r>
    <s v="L1580"/>
    <x v="2"/>
    <s v="Warm"/>
    <d v="2025-10-01T00:00:00"/>
    <d v="2025-10-05T00:00:00"/>
    <d v="2025-10-07T00:00:00"/>
    <d v="2025-10-10T00:00:00"/>
    <s v="No"/>
    <m/>
    <d v="2025-10-22T00:00:00"/>
    <n v="6"/>
    <n v="4"/>
    <n v="2"/>
    <n v="3"/>
    <s v="Detractor"/>
  </r>
  <r>
    <s v="L1581"/>
    <x v="3"/>
    <s v="Warm"/>
    <d v="2025-10-02T00:00:00"/>
    <d v="2025-10-03T00:00:00"/>
    <d v="2025-10-08T00:00:00"/>
    <d v="2025-10-13T00:00:00"/>
    <s v="No"/>
    <m/>
    <d v="2025-11-02T00:00:00"/>
    <n v="3"/>
    <n v="1"/>
    <n v="5"/>
    <n v="5"/>
    <s v="Detractor"/>
  </r>
  <r>
    <s v="L1582"/>
    <x v="3"/>
    <s v="Warm"/>
    <d v="2025-10-11T00:00:00"/>
    <d v="2025-10-14T00:00:00"/>
    <d v="2025-10-18T00:00:00"/>
    <d v="2025-10-22T00:00:00"/>
    <s v="No"/>
    <m/>
    <d v="2025-11-09T00:00:00"/>
    <n v="1"/>
    <n v="3"/>
    <n v="4"/>
    <n v="4"/>
    <s v="Detractor"/>
  </r>
  <r>
    <s v="L1583"/>
    <x v="3"/>
    <s v="Warm"/>
    <d v="2025-10-26T00:00:00"/>
    <d v="2025-10-28T00:00:00"/>
    <d v="2025-10-30T00:00:00"/>
    <d v="2025-11-05T00:00:00"/>
    <s v="No"/>
    <m/>
    <d v="2025-12-05T00:00:00"/>
    <n v="5"/>
    <n v="2"/>
    <n v="2"/>
    <n v="6"/>
    <s v="Detractor"/>
  </r>
  <r>
    <s v="L1584"/>
    <x v="3"/>
    <s v="Warm"/>
    <d v="2025-10-02T00:00:00"/>
    <d v="2025-10-03T00:00:00"/>
    <d v="2025-10-08T00:00:00"/>
    <d v="2025-10-14T00:00:00"/>
    <s v="Yes"/>
    <s v="Changed Mind"/>
    <m/>
    <m/>
    <n v="1"/>
    <n v="5"/>
    <n v="6"/>
    <s v="Detractor"/>
  </r>
  <r>
    <s v="L1585"/>
    <x v="3"/>
    <s v="Hot"/>
    <d v="2025-10-10T00:00:00"/>
    <d v="2025-10-12T00:00:00"/>
    <d v="2025-10-13T00:00:00"/>
    <d v="2025-10-20T00:00:00"/>
    <s v="No"/>
    <m/>
    <d v="2025-11-09T00:00:00"/>
    <n v="5"/>
    <n v="2"/>
    <n v="1"/>
    <n v="7"/>
    <s v="Detractor"/>
  </r>
  <r>
    <s v="L1586"/>
    <x v="0"/>
    <s v="Warm"/>
    <d v="2025-10-12T00:00:00"/>
    <d v="2025-10-13T00:00:00"/>
    <d v="2025-10-18T00:00:00"/>
    <d v="2025-10-22T00:00:00"/>
    <s v="No"/>
    <m/>
    <d v="2025-11-09T00:00:00"/>
    <n v="8"/>
    <n v="1"/>
    <n v="5"/>
    <n v="4"/>
    <s v="Passive"/>
  </r>
  <r>
    <s v="L1587"/>
    <x v="3"/>
    <s v="Cold"/>
    <d v="2025-10-12T00:00:00"/>
    <m/>
    <m/>
    <m/>
    <s v="Yes"/>
    <s v="Changed Mind"/>
    <m/>
    <m/>
    <m/>
    <n v="0"/>
    <n v="0"/>
    <s v="Detractor"/>
  </r>
  <r>
    <s v="L1588"/>
    <x v="0"/>
    <s v="Warm"/>
    <d v="2025-10-14T00:00:00"/>
    <d v="2025-10-17T00:00:00"/>
    <d v="2025-10-18T00:00:00"/>
    <d v="2025-10-21T00:00:00"/>
    <s v="Yes"/>
    <s v="Price"/>
    <m/>
    <m/>
    <n v="3"/>
    <n v="1"/>
    <n v="3"/>
    <s v="Detractor"/>
  </r>
  <r>
    <s v="L1589"/>
    <x v="3"/>
    <s v="Warm"/>
    <d v="2025-10-05T00:00:00"/>
    <d v="2025-10-08T00:00:00"/>
    <d v="2025-10-09T00:00:00"/>
    <d v="2025-10-13T00:00:00"/>
    <s v="No"/>
    <m/>
    <d v="2025-10-31T00:00:00"/>
    <n v="9"/>
    <n v="3"/>
    <n v="1"/>
    <n v="4"/>
    <s v="Promoter"/>
  </r>
  <r>
    <s v="L1590"/>
    <x v="2"/>
    <s v="Cold"/>
    <d v="2025-10-08T00:00:00"/>
    <m/>
    <m/>
    <m/>
    <s v="Yes"/>
    <s v="Financing Issue"/>
    <m/>
    <m/>
    <m/>
    <n v="0"/>
    <n v="0"/>
    <s v="Detractor"/>
  </r>
  <r>
    <s v="L1591"/>
    <x v="1"/>
    <s v="Warm"/>
    <d v="2025-10-17T00:00:00"/>
    <d v="2025-10-22T00:00:00"/>
    <d v="2025-10-23T00:00:00"/>
    <d v="2025-10-26T00:00:00"/>
    <s v="No"/>
    <m/>
    <d v="2025-11-25T00:00:00"/>
    <n v="0"/>
    <n v="5"/>
    <n v="1"/>
    <n v="3"/>
    <s v="Detractor"/>
  </r>
  <r>
    <s v="L1592"/>
    <x v="0"/>
    <s v="Hot"/>
    <d v="2025-10-14T00:00:00"/>
    <d v="2025-10-18T00:00:00"/>
    <d v="2025-10-19T00:00:00"/>
    <d v="2025-10-26T00:00:00"/>
    <s v="Yes"/>
    <s v="Other"/>
    <m/>
    <m/>
    <n v="4"/>
    <n v="1"/>
    <n v="7"/>
    <s v="Detractor"/>
  </r>
  <r>
    <s v="L1593"/>
    <x v="3"/>
    <s v="Warm"/>
    <d v="2025-10-19T00:00:00"/>
    <d v="2025-10-24T00:00:00"/>
    <d v="2025-10-28T00:00:00"/>
    <d v="2025-11-01T00:00:00"/>
    <s v="No"/>
    <m/>
    <d v="2025-12-01T00:00:00"/>
    <n v="7"/>
    <n v="5"/>
    <n v="4"/>
    <n v="4"/>
    <s v="Passive"/>
  </r>
  <r>
    <s v="L1594"/>
    <x v="2"/>
    <s v="Warm"/>
    <d v="2025-10-22T00:00:00"/>
    <d v="2025-10-26T00:00:00"/>
    <d v="2025-10-28T00:00:00"/>
    <d v="2025-11-04T00:00:00"/>
    <s v="No"/>
    <m/>
    <d v="2025-11-23T00:00:00"/>
    <n v="2"/>
    <n v="4"/>
    <n v="2"/>
    <n v="7"/>
    <s v="Detractor"/>
  </r>
  <r>
    <s v="L1595"/>
    <x v="1"/>
    <s v="Warm"/>
    <d v="2025-10-26T00:00:00"/>
    <d v="2025-10-29T00:00:00"/>
    <d v="2025-10-31T00:00:00"/>
    <d v="2025-11-02T00:00:00"/>
    <s v="No"/>
    <m/>
    <d v="2025-11-18T00:00:00"/>
    <n v="8"/>
    <n v="3"/>
    <n v="2"/>
    <n v="2"/>
    <s v="Passive"/>
  </r>
  <r>
    <s v="L1596"/>
    <x v="0"/>
    <s v="Warm"/>
    <d v="2025-10-06T00:00:00"/>
    <d v="2025-10-07T00:00:00"/>
    <d v="2025-10-08T00:00:00"/>
    <d v="2025-10-10T00:00:00"/>
    <s v="Yes"/>
    <s v="Other"/>
    <m/>
    <m/>
    <n v="1"/>
    <n v="1"/>
    <n v="2"/>
    <s v="Detractor"/>
  </r>
  <r>
    <s v="L1597"/>
    <x v="1"/>
    <s v="Warm"/>
    <d v="2025-10-06T00:00:00"/>
    <d v="2025-10-08T00:00:00"/>
    <d v="2025-10-10T00:00:00"/>
    <d v="2025-10-14T00:00:00"/>
    <s v="No"/>
    <m/>
    <d v="2025-10-28T00:00:00"/>
    <n v="3"/>
    <n v="2"/>
    <n v="2"/>
    <n v="4"/>
    <s v="Detractor"/>
  </r>
  <r>
    <s v="L1598"/>
    <x v="2"/>
    <s v="Warm"/>
    <d v="2025-10-06T00:00:00"/>
    <d v="2025-10-09T00:00:00"/>
    <d v="2025-10-10T00:00:00"/>
    <d v="2025-10-15T00:00:00"/>
    <s v="No"/>
    <m/>
    <d v="2025-11-10T00:00:00"/>
    <n v="1"/>
    <n v="3"/>
    <n v="1"/>
    <n v="5"/>
    <s v="Detractor"/>
  </r>
  <r>
    <s v="L1599"/>
    <x v="0"/>
    <s v="Warm"/>
    <d v="2025-10-03T00:00:00"/>
    <d v="2025-10-06T00:00:00"/>
    <d v="2025-10-08T00:00:00"/>
    <d v="2025-10-12T00:00:00"/>
    <s v="No"/>
    <m/>
    <d v="2025-10-29T00:00:00"/>
    <n v="4"/>
    <n v="3"/>
    <n v="2"/>
    <n v="4"/>
    <s v="Detractor"/>
  </r>
  <r>
    <s v="L1600"/>
    <x v="1"/>
    <s v="Cold"/>
    <d v="2025-10-20T00:00:00"/>
    <m/>
    <m/>
    <m/>
    <s v="Yes"/>
    <s v="Price"/>
    <m/>
    <m/>
    <m/>
    <n v="0"/>
    <n v="0"/>
    <s v="Detractor"/>
  </r>
  <r>
    <s v="L1601"/>
    <x v="3"/>
    <s v="Warm"/>
    <d v="2025-10-28T00:00:00"/>
    <d v="2025-10-29T00:00:00"/>
    <d v="2025-11-03T00:00:00"/>
    <d v="2025-11-09T00:00:00"/>
    <s v="No"/>
    <m/>
    <d v="2025-11-20T00:00:00"/>
    <n v="3"/>
    <n v="1"/>
    <n v="5"/>
    <n v="6"/>
    <s v="Detractor"/>
  </r>
  <r>
    <s v="L1602"/>
    <x v="0"/>
    <s v="Hot"/>
    <d v="2025-10-13T00:00:00"/>
    <d v="2025-10-16T00:00:00"/>
    <d v="2025-10-20T00:00:00"/>
    <d v="2025-10-22T00:00:00"/>
    <s v="No"/>
    <m/>
    <d v="2025-11-20T00:00:00"/>
    <n v="8"/>
    <n v="3"/>
    <n v="4"/>
    <n v="2"/>
    <s v="Passive"/>
  </r>
  <r>
    <s v="L1603"/>
    <x v="1"/>
    <s v="Warm"/>
    <d v="2025-10-20T00:00:00"/>
    <d v="2025-10-23T00:00:00"/>
    <d v="2025-10-26T00:00:00"/>
    <d v="2025-10-30T00:00:00"/>
    <s v="No"/>
    <m/>
    <d v="2025-11-21T00:00:00"/>
    <n v="6"/>
    <n v="3"/>
    <n v="3"/>
    <n v="4"/>
    <s v="Detractor"/>
  </r>
  <r>
    <s v="L1604"/>
    <x v="2"/>
    <s v="Hot"/>
    <d v="2025-10-22T00:00:00"/>
    <d v="2025-10-23T00:00:00"/>
    <d v="2025-10-24T00:00:00"/>
    <d v="2025-10-31T00:00:00"/>
    <s v="No"/>
    <m/>
    <d v="2025-11-20T00:00:00"/>
    <n v="9"/>
    <n v="1"/>
    <n v="1"/>
    <n v="7"/>
    <s v="Promoter"/>
  </r>
  <r>
    <s v="L1605"/>
    <x v="2"/>
    <s v="Warm"/>
    <d v="2025-10-08T00:00:00"/>
    <d v="2025-10-11T00:00:00"/>
    <d v="2025-10-16T00:00:00"/>
    <d v="2025-10-22T00:00:00"/>
    <s v="No"/>
    <m/>
    <d v="2025-11-05T00:00:00"/>
    <n v="3"/>
    <n v="3"/>
    <n v="5"/>
    <n v="6"/>
    <s v="Detractor"/>
  </r>
  <r>
    <s v="L1606"/>
    <x v="0"/>
    <s v="Warm"/>
    <d v="2025-10-16T00:00:00"/>
    <d v="2025-10-20T00:00:00"/>
    <d v="2025-10-25T00:00:00"/>
    <d v="2025-11-01T00:00:00"/>
    <s v="No"/>
    <m/>
    <d v="2025-11-11T00:00:00"/>
    <n v="2"/>
    <n v="4"/>
    <n v="5"/>
    <n v="7"/>
    <s v="Detractor"/>
  </r>
  <r>
    <s v="L1607"/>
    <x v="1"/>
    <s v="Hot"/>
    <d v="2025-10-30T00:00:00"/>
    <d v="2025-11-03T00:00:00"/>
    <d v="2025-11-07T00:00:00"/>
    <d v="2025-11-09T00:00:00"/>
    <s v="No"/>
    <m/>
    <d v="2025-12-09T00:00:00"/>
    <n v="4"/>
    <n v="4"/>
    <n v="4"/>
    <n v="2"/>
    <s v="Detractor"/>
  </r>
  <r>
    <s v="L1608"/>
    <x v="0"/>
    <s v="Warm"/>
    <d v="2025-10-19T00:00:00"/>
    <d v="2025-10-23T00:00:00"/>
    <d v="2025-10-27T00:00:00"/>
    <d v="2025-11-01T00:00:00"/>
    <s v="No"/>
    <m/>
    <d v="2025-11-26T00:00:00"/>
    <n v="0"/>
    <n v="4"/>
    <n v="4"/>
    <n v="5"/>
    <s v="Detractor"/>
  </r>
  <r>
    <s v="L1609"/>
    <x v="0"/>
    <s v="Hot"/>
    <d v="2025-10-05T00:00:00"/>
    <d v="2025-10-09T00:00:00"/>
    <d v="2025-10-10T00:00:00"/>
    <d v="2025-10-15T00:00:00"/>
    <s v="No"/>
    <m/>
    <d v="2025-11-03T00:00:00"/>
    <n v="1"/>
    <n v="4"/>
    <n v="1"/>
    <n v="5"/>
    <s v="Detractor"/>
  </r>
  <r>
    <s v="L1610"/>
    <x v="1"/>
    <s v="Hot"/>
    <d v="2025-10-08T00:00:00"/>
    <d v="2025-10-11T00:00:00"/>
    <d v="2025-10-12T00:00:00"/>
    <d v="2025-10-18T00:00:00"/>
    <s v="No"/>
    <m/>
    <d v="2025-11-05T00:00:00"/>
    <n v="1"/>
    <n v="3"/>
    <n v="1"/>
    <n v="6"/>
    <s v="Detractor"/>
  </r>
  <r>
    <s v="L1611"/>
    <x v="1"/>
    <s v="Warm"/>
    <d v="2025-10-15T00:00:00"/>
    <d v="2025-10-17T00:00:00"/>
    <d v="2025-10-22T00:00:00"/>
    <d v="2025-10-26T00:00:00"/>
    <s v="No"/>
    <m/>
    <d v="2025-11-18T00:00:00"/>
    <n v="2"/>
    <n v="2"/>
    <n v="5"/>
    <n v="4"/>
    <s v="Detractor"/>
  </r>
  <r>
    <s v="L1612"/>
    <x v="3"/>
    <s v="Warm"/>
    <d v="2025-10-21T00:00:00"/>
    <d v="2025-10-25T00:00:00"/>
    <d v="2025-10-30T00:00:00"/>
    <d v="2025-11-01T00:00:00"/>
    <s v="No"/>
    <m/>
    <d v="2025-11-23T00:00:00"/>
    <n v="8"/>
    <n v="4"/>
    <n v="5"/>
    <n v="2"/>
    <s v="Passive"/>
  </r>
  <r>
    <s v="L1613"/>
    <x v="1"/>
    <s v="Cold"/>
    <d v="2025-10-09T00:00:00"/>
    <m/>
    <m/>
    <m/>
    <s v="Yes"/>
    <s v="Price"/>
    <m/>
    <m/>
    <m/>
    <n v="0"/>
    <n v="0"/>
    <s v="Detractor"/>
  </r>
  <r>
    <s v="L1614"/>
    <x v="2"/>
    <s v="Warm"/>
    <d v="2025-10-15T00:00:00"/>
    <d v="2025-10-19T00:00:00"/>
    <d v="2025-10-23T00:00:00"/>
    <d v="2025-10-28T00:00:00"/>
    <s v="No"/>
    <m/>
    <d v="2025-11-19T00:00:00"/>
    <n v="6"/>
    <n v="4"/>
    <n v="4"/>
    <n v="5"/>
    <s v="Detractor"/>
  </r>
  <r>
    <s v="L1615"/>
    <x v="0"/>
    <s v="Warm"/>
    <d v="2025-10-09T00:00:00"/>
    <d v="2025-10-12T00:00:00"/>
    <d v="2025-10-13T00:00:00"/>
    <d v="2025-10-19T00:00:00"/>
    <s v="No"/>
    <m/>
    <d v="2025-10-30T00:00:00"/>
    <n v="6"/>
    <n v="3"/>
    <n v="1"/>
    <n v="6"/>
    <s v="Detractor"/>
  </r>
  <r>
    <s v="L1616"/>
    <x v="0"/>
    <s v="Warm"/>
    <d v="2025-10-22T00:00:00"/>
    <d v="2025-10-27T00:00:00"/>
    <d v="2025-10-28T00:00:00"/>
    <d v="2025-10-31T00:00:00"/>
    <s v="No"/>
    <m/>
    <d v="2025-11-28T00:00:00"/>
    <n v="3"/>
    <n v="5"/>
    <n v="1"/>
    <n v="3"/>
    <s v="Detractor"/>
  </r>
  <r>
    <s v="L1617"/>
    <x v="2"/>
    <s v="Hot"/>
    <d v="2025-10-01T00:00:00"/>
    <d v="2025-10-04T00:00:00"/>
    <d v="2025-10-09T00:00:00"/>
    <d v="2025-10-13T00:00:00"/>
    <s v="No"/>
    <m/>
    <d v="2025-11-10T00:00:00"/>
    <n v="4"/>
    <n v="3"/>
    <n v="5"/>
    <n v="4"/>
    <s v="Detractor"/>
  </r>
  <r>
    <s v="L1618"/>
    <x v="1"/>
    <s v="Cold"/>
    <d v="2025-10-29T00:00:00"/>
    <m/>
    <m/>
    <m/>
    <s v="Yes"/>
    <s v="Price"/>
    <m/>
    <m/>
    <m/>
    <n v="0"/>
    <n v="0"/>
    <s v="Detractor"/>
  </r>
  <r>
    <s v="L1619"/>
    <x v="2"/>
    <s v="Warm"/>
    <d v="2025-10-26T00:00:00"/>
    <d v="2025-10-27T00:00:00"/>
    <d v="2025-10-30T00:00:00"/>
    <d v="2025-11-02T00:00:00"/>
    <s v="Yes"/>
    <s v="Financing Issue"/>
    <m/>
    <m/>
    <n v="1"/>
    <n v="3"/>
    <n v="3"/>
    <s v="Detractor"/>
  </r>
  <r>
    <s v="L1620"/>
    <x v="2"/>
    <s v="Warm"/>
    <d v="2025-10-15T00:00:00"/>
    <d v="2025-10-19T00:00:00"/>
    <d v="2025-10-24T00:00:00"/>
    <d v="2025-10-28T00:00:00"/>
    <s v="Yes"/>
    <s v="Changed Mind"/>
    <m/>
    <m/>
    <n v="4"/>
    <n v="5"/>
    <n v="4"/>
    <s v="Detractor"/>
  </r>
  <r>
    <s v="L1621"/>
    <x v="3"/>
    <s v="Hot"/>
    <d v="2025-10-29T00:00:00"/>
    <d v="2025-10-30T00:00:00"/>
    <d v="2025-11-02T00:00:00"/>
    <d v="2025-11-04T00:00:00"/>
    <s v="No"/>
    <m/>
    <d v="2025-11-20T00:00:00"/>
    <n v="6"/>
    <n v="1"/>
    <n v="3"/>
    <n v="2"/>
    <s v="Detractor"/>
  </r>
  <r>
    <s v="L1622"/>
    <x v="2"/>
    <s v="Warm"/>
    <d v="2025-10-10T00:00:00"/>
    <d v="2025-10-14T00:00:00"/>
    <d v="2025-10-15T00:00:00"/>
    <d v="2025-10-21T00:00:00"/>
    <s v="No"/>
    <m/>
    <d v="2025-11-10T00:00:00"/>
    <n v="9"/>
    <n v="4"/>
    <n v="1"/>
    <n v="6"/>
    <s v="Promoter"/>
  </r>
  <r>
    <s v="L1623"/>
    <x v="0"/>
    <s v="Warm"/>
    <d v="2025-10-22T00:00:00"/>
    <d v="2025-10-27T00:00:00"/>
    <d v="2025-11-01T00:00:00"/>
    <d v="2025-11-08T00:00:00"/>
    <s v="No"/>
    <m/>
    <d v="2025-11-25T00:00:00"/>
    <n v="8"/>
    <n v="5"/>
    <n v="5"/>
    <n v="7"/>
    <s v="Passive"/>
  </r>
  <r>
    <s v="L1624"/>
    <x v="2"/>
    <s v="Cold"/>
    <d v="2025-10-18T00:00:00"/>
    <m/>
    <m/>
    <m/>
    <s v="Yes"/>
    <s v="Price"/>
    <m/>
    <m/>
    <m/>
    <n v="0"/>
    <n v="0"/>
    <s v="Detractor"/>
  </r>
  <r>
    <s v="L1625"/>
    <x v="0"/>
    <s v="Hot"/>
    <d v="2025-10-06T00:00:00"/>
    <d v="2025-10-08T00:00:00"/>
    <d v="2025-10-12T00:00:00"/>
    <d v="2025-10-19T00:00:00"/>
    <s v="No"/>
    <m/>
    <d v="2025-11-15T00:00:00"/>
    <n v="0"/>
    <n v="2"/>
    <n v="4"/>
    <n v="7"/>
    <s v="Detractor"/>
  </r>
  <r>
    <s v="L1626"/>
    <x v="0"/>
    <s v="Warm"/>
    <d v="2025-10-03T00:00:00"/>
    <d v="2025-10-08T00:00:00"/>
    <d v="2025-10-10T00:00:00"/>
    <d v="2025-10-12T00:00:00"/>
    <s v="No"/>
    <m/>
    <d v="2025-11-11T00:00:00"/>
    <n v="1"/>
    <n v="5"/>
    <n v="2"/>
    <n v="2"/>
    <s v="Detractor"/>
  </r>
  <r>
    <s v="L1627"/>
    <x v="0"/>
    <s v="Cold"/>
    <d v="2025-10-15T00:00:00"/>
    <m/>
    <m/>
    <m/>
    <s v="Yes"/>
    <s v="Price"/>
    <m/>
    <m/>
    <m/>
    <n v="0"/>
    <n v="0"/>
    <s v="Detractor"/>
  </r>
  <r>
    <s v="L1628"/>
    <x v="1"/>
    <s v="Warm"/>
    <d v="2025-10-31T00:00:00"/>
    <d v="2025-11-03T00:00:00"/>
    <d v="2025-11-04T00:00:00"/>
    <d v="2025-11-07T00:00:00"/>
    <s v="Yes"/>
    <s v="Model Unavailable"/>
    <m/>
    <m/>
    <n v="3"/>
    <n v="1"/>
    <n v="3"/>
    <s v="Detractor"/>
  </r>
  <r>
    <s v="L1629"/>
    <x v="3"/>
    <s v="Warm"/>
    <d v="2025-10-12T00:00:00"/>
    <d v="2025-10-15T00:00:00"/>
    <d v="2025-10-16T00:00:00"/>
    <d v="2025-10-23T00:00:00"/>
    <s v="No"/>
    <m/>
    <d v="2025-11-17T00:00:00"/>
    <n v="3"/>
    <n v="3"/>
    <n v="1"/>
    <n v="7"/>
    <s v="Detractor"/>
  </r>
  <r>
    <s v="L1630"/>
    <x v="0"/>
    <s v="Hot"/>
    <d v="2025-10-19T00:00:00"/>
    <d v="2025-10-20T00:00:00"/>
    <d v="2025-10-25T00:00:00"/>
    <d v="2025-10-31T00:00:00"/>
    <s v="No"/>
    <m/>
    <d v="2025-11-21T00:00:00"/>
    <n v="1"/>
    <n v="1"/>
    <n v="5"/>
    <n v="6"/>
    <s v="Detractor"/>
  </r>
  <r>
    <s v="L1631"/>
    <x v="0"/>
    <s v="Cold"/>
    <d v="2025-10-10T00:00:00"/>
    <m/>
    <m/>
    <m/>
    <s v="Yes"/>
    <s v="Financing Issue"/>
    <m/>
    <m/>
    <m/>
    <n v="0"/>
    <n v="0"/>
    <s v="Detractor"/>
  </r>
  <r>
    <s v="L1632"/>
    <x v="1"/>
    <s v="Hot"/>
    <d v="2025-10-21T00:00:00"/>
    <d v="2025-10-22T00:00:00"/>
    <d v="2025-10-24T00:00:00"/>
    <d v="2025-10-26T00:00:00"/>
    <s v="No"/>
    <m/>
    <d v="2025-11-21T00:00:00"/>
    <n v="9"/>
    <n v="1"/>
    <n v="2"/>
    <n v="2"/>
    <s v="Promoter"/>
  </r>
  <r>
    <s v="L1633"/>
    <x v="0"/>
    <s v="Warm"/>
    <d v="2025-10-31T00:00:00"/>
    <d v="2025-11-03T00:00:00"/>
    <d v="2025-11-05T00:00:00"/>
    <d v="2025-11-07T00:00:00"/>
    <s v="No"/>
    <m/>
    <d v="2025-11-26T00:00:00"/>
    <n v="3"/>
    <n v="3"/>
    <n v="2"/>
    <n v="2"/>
    <s v="Detractor"/>
  </r>
  <r>
    <s v="L1634"/>
    <x v="2"/>
    <s v="Warm"/>
    <d v="2025-10-14T00:00:00"/>
    <d v="2025-10-17T00:00:00"/>
    <d v="2025-10-19T00:00:00"/>
    <d v="2025-10-21T00:00:00"/>
    <s v="No"/>
    <m/>
    <d v="2025-11-05T00:00:00"/>
    <n v="5"/>
    <n v="3"/>
    <n v="2"/>
    <n v="2"/>
    <s v="Detractor"/>
  </r>
  <r>
    <s v="L1635"/>
    <x v="2"/>
    <s v="Hot"/>
    <d v="2025-10-23T00:00:00"/>
    <d v="2025-10-26T00:00:00"/>
    <d v="2025-10-31T00:00:00"/>
    <d v="2025-11-03T00:00:00"/>
    <s v="Yes"/>
    <s v="Price"/>
    <m/>
    <m/>
    <n v="3"/>
    <n v="5"/>
    <n v="3"/>
    <s v="Detractor"/>
  </r>
  <r>
    <s v="L1636"/>
    <x v="3"/>
    <s v="Warm"/>
    <d v="2025-10-09T00:00:00"/>
    <d v="2025-10-13T00:00:00"/>
    <d v="2025-10-18T00:00:00"/>
    <d v="2025-10-20T00:00:00"/>
    <s v="No"/>
    <m/>
    <d v="2025-11-16T00:00:00"/>
    <n v="3"/>
    <n v="4"/>
    <n v="5"/>
    <n v="2"/>
    <s v="Detractor"/>
  </r>
  <r>
    <s v="L1637"/>
    <x v="0"/>
    <s v="Hot"/>
    <d v="2025-10-15T00:00:00"/>
    <d v="2025-10-20T00:00:00"/>
    <d v="2025-10-23T00:00:00"/>
    <d v="2025-10-28T00:00:00"/>
    <s v="No"/>
    <m/>
    <d v="2025-11-12T00:00:00"/>
    <n v="2"/>
    <n v="5"/>
    <n v="3"/>
    <n v="5"/>
    <s v="Detractor"/>
  </r>
  <r>
    <s v="L1638"/>
    <x v="1"/>
    <s v="Hot"/>
    <d v="2025-10-28T00:00:00"/>
    <d v="2025-11-01T00:00:00"/>
    <d v="2025-11-04T00:00:00"/>
    <d v="2025-11-08T00:00:00"/>
    <s v="No"/>
    <m/>
    <d v="2025-11-27T00:00:00"/>
    <n v="1"/>
    <n v="4"/>
    <n v="3"/>
    <n v="4"/>
    <s v="Detractor"/>
  </r>
  <r>
    <s v="L1639"/>
    <x v="2"/>
    <s v="Warm"/>
    <d v="2025-10-10T00:00:00"/>
    <d v="2025-10-12T00:00:00"/>
    <d v="2025-10-15T00:00:00"/>
    <d v="2025-10-20T00:00:00"/>
    <s v="No"/>
    <m/>
    <d v="2025-11-02T00:00:00"/>
    <n v="8"/>
    <n v="2"/>
    <n v="3"/>
    <n v="5"/>
    <s v="Passive"/>
  </r>
  <r>
    <s v="L1640"/>
    <x v="1"/>
    <s v="Cold"/>
    <d v="2025-10-07T00:00:00"/>
    <m/>
    <m/>
    <m/>
    <s v="Yes"/>
    <s v="Model Unavailable"/>
    <m/>
    <m/>
    <m/>
    <n v="0"/>
    <n v="0"/>
    <s v="Detractor"/>
  </r>
  <r>
    <s v="L1641"/>
    <x v="1"/>
    <s v="Warm"/>
    <d v="2025-10-13T00:00:00"/>
    <d v="2025-10-17T00:00:00"/>
    <d v="2025-10-21T00:00:00"/>
    <d v="2025-10-24T00:00:00"/>
    <s v="No"/>
    <m/>
    <d v="2025-11-18T00:00:00"/>
    <n v="9"/>
    <n v="4"/>
    <n v="4"/>
    <n v="3"/>
    <s v="Promoter"/>
  </r>
  <r>
    <s v="L1642"/>
    <x v="2"/>
    <s v="Warm"/>
    <d v="2025-10-28T00:00:00"/>
    <d v="2025-10-31T00:00:00"/>
    <d v="2025-11-01T00:00:00"/>
    <d v="2025-11-04T00:00:00"/>
    <s v="No"/>
    <m/>
    <d v="2025-11-18T00:00:00"/>
    <n v="4"/>
    <n v="3"/>
    <n v="1"/>
    <n v="3"/>
    <s v="Detractor"/>
  </r>
  <r>
    <s v="L1643"/>
    <x v="1"/>
    <s v="Hot"/>
    <d v="2025-10-16T00:00:00"/>
    <d v="2025-10-20T00:00:00"/>
    <d v="2025-10-23T00:00:00"/>
    <d v="2025-10-25T00:00:00"/>
    <s v="No"/>
    <m/>
    <d v="2025-11-12T00:00:00"/>
    <n v="4"/>
    <n v="4"/>
    <n v="3"/>
    <n v="2"/>
    <s v="Detractor"/>
  </r>
  <r>
    <s v="L1644"/>
    <x v="2"/>
    <s v="Hot"/>
    <d v="2025-10-04T00:00:00"/>
    <d v="2025-10-05T00:00:00"/>
    <d v="2025-10-09T00:00:00"/>
    <d v="2025-10-15T00:00:00"/>
    <s v="No"/>
    <m/>
    <d v="2025-11-11T00:00:00"/>
    <n v="1"/>
    <n v="1"/>
    <n v="4"/>
    <n v="6"/>
    <s v="Detractor"/>
  </r>
  <r>
    <s v="L1645"/>
    <x v="1"/>
    <s v="Hot"/>
    <d v="2025-10-08T00:00:00"/>
    <d v="2025-10-11T00:00:00"/>
    <d v="2025-10-15T00:00:00"/>
    <d v="2025-10-22T00:00:00"/>
    <s v="No"/>
    <m/>
    <d v="2025-11-06T00:00:00"/>
    <n v="0"/>
    <n v="3"/>
    <n v="4"/>
    <n v="7"/>
    <s v="Detractor"/>
  </r>
  <r>
    <s v="L1646"/>
    <x v="2"/>
    <s v="Hot"/>
    <d v="2025-10-13T00:00:00"/>
    <d v="2025-10-18T00:00:00"/>
    <d v="2025-10-23T00:00:00"/>
    <d v="2025-10-30T00:00:00"/>
    <s v="No"/>
    <m/>
    <d v="2025-11-19T00:00:00"/>
    <n v="6"/>
    <n v="5"/>
    <n v="5"/>
    <n v="7"/>
    <s v="Detractor"/>
  </r>
  <r>
    <s v="L1647"/>
    <x v="0"/>
    <s v="Warm"/>
    <d v="2025-10-19T00:00:00"/>
    <d v="2025-10-23T00:00:00"/>
    <d v="2025-10-25T00:00:00"/>
    <d v="2025-11-01T00:00:00"/>
    <s v="No"/>
    <m/>
    <d v="2025-12-01T00:00:00"/>
    <n v="5"/>
    <n v="4"/>
    <n v="2"/>
    <n v="7"/>
    <s v="Detractor"/>
  </r>
  <r>
    <s v="L1648"/>
    <x v="3"/>
    <s v="Warm"/>
    <d v="2025-10-12T00:00:00"/>
    <d v="2025-10-15T00:00:00"/>
    <d v="2025-10-17T00:00:00"/>
    <d v="2025-10-22T00:00:00"/>
    <s v="No"/>
    <m/>
    <d v="2025-11-03T00:00:00"/>
    <n v="0"/>
    <n v="3"/>
    <n v="2"/>
    <n v="5"/>
    <s v="Detractor"/>
  </r>
  <r>
    <s v="L1649"/>
    <x v="2"/>
    <s v="Warm"/>
    <d v="2025-10-19T00:00:00"/>
    <d v="2025-10-20T00:00:00"/>
    <d v="2025-10-23T00:00:00"/>
    <d v="2025-10-26T00:00:00"/>
    <s v="Yes"/>
    <s v="Other"/>
    <m/>
    <m/>
    <n v="1"/>
    <n v="3"/>
    <n v="3"/>
    <s v="Detractor"/>
  </r>
  <r>
    <s v="L1650"/>
    <x v="2"/>
    <s v="Hot"/>
    <d v="2025-10-10T00:00:00"/>
    <d v="2025-10-11T00:00:00"/>
    <d v="2025-10-12T00:00:00"/>
    <d v="2025-10-16T00:00:00"/>
    <s v="Yes"/>
    <s v="Price"/>
    <m/>
    <m/>
    <n v="1"/>
    <n v="1"/>
    <n v="4"/>
    <s v="Detractor"/>
  </r>
  <r>
    <s v="L1651"/>
    <x v="3"/>
    <s v="Warm"/>
    <d v="2025-10-23T00:00:00"/>
    <d v="2025-10-27T00:00:00"/>
    <d v="2025-10-28T00:00:00"/>
    <d v="2025-10-31T00:00:00"/>
    <s v="Yes"/>
    <s v="Price"/>
    <m/>
    <m/>
    <n v="4"/>
    <n v="1"/>
    <n v="3"/>
    <s v="Detractor"/>
  </r>
  <r>
    <s v="L1652"/>
    <x v="2"/>
    <s v="Cold"/>
    <d v="2025-10-10T00:00:00"/>
    <m/>
    <m/>
    <m/>
    <s v="Yes"/>
    <s v="Model Unavailable"/>
    <m/>
    <m/>
    <m/>
    <n v="0"/>
    <n v="0"/>
    <s v="Detractor"/>
  </r>
  <r>
    <s v="L1653"/>
    <x v="2"/>
    <s v="Hot"/>
    <d v="2025-10-01T00:00:00"/>
    <d v="2025-10-04T00:00:00"/>
    <d v="2025-10-05T00:00:00"/>
    <d v="2025-10-10T00:00:00"/>
    <s v="No"/>
    <m/>
    <d v="2025-10-27T00:00:00"/>
    <n v="3"/>
    <n v="3"/>
    <n v="1"/>
    <n v="5"/>
    <s v="Detractor"/>
  </r>
  <r>
    <s v="L1654"/>
    <x v="1"/>
    <s v="Cold"/>
    <d v="2025-10-27T00:00:00"/>
    <m/>
    <m/>
    <m/>
    <s v="Yes"/>
    <s v="Financing Issue"/>
    <m/>
    <m/>
    <m/>
    <n v="0"/>
    <n v="0"/>
    <s v="Detractor"/>
  </r>
  <r>
    <s v="L1655"/>
    <x v="3"/>
    <s v="Cold"/>
    <d v="2025-10-22T00:00:00"/>
    <m/>
    <m/>
    <m/>
    <s v="Yes"/>
    <s v="Price"/>
    <m/>
    <m/>
    <m/>
    <n v="0"/>
    <n v="0"/>
    <s v="Detractor"/>
  </r>
  <r>
    <s v="L1656"/>
    <x v="0"/>
    <s v="Hot"/>
    <d v="2025-10-13T00:00:00"/>
    <d v="2025-10-18T00:00:00"/>
    <d v="2025-10-22T00:00:00"/>
    <d v="2025-10-29T00:00:00"/>
    <s v="No"/>
    <m/>
    <d v="2025-11-19T00:00:00"/>
    <n v="2"/>
    <n v="5"/>
    <n v="4"/>
    <n v="7"/>
    <s v="Detractor"/>
  </r>
  <r>
    <s v="L1657"/>
    <x v="2"/>
    <s v="Warm"/>
    <d v="2025-10-09T00:00:00"/>
    <d v="2025-10-11T00:00:00"/>
    <d v="2025-10-15T00:00:00"/>
    <d v="2025-10-19T00:00:00"/>
    <s v="Yes"/>
    <s v="Other"/>
    <m/>
    <m/>
    <n v="2"/>
    <n v="4"/>
    <n v="4"/>
    <s v="Detractor"/>
  </r>
  <r>
    <s v="L1658"/>
    <x v="3"/>
    <s v="Warm"/>
    <d v="2025-10-01T00:00:00"/>
    <d v="2025-10-02T00:00:00"/>
    <d v="2025-10-06T00:00:00"/>
    <d v="2025-10-10T00:00:00"/>
    <s v="Yes"/>
    <s v="Price"/>
    <m/>
    <m/>
    <n v="1"/>
    <n v="4"/>
    <n v="4"/>
    <s v="Detractor"/>
  </r>
  <r>
    <s v="L1659"/>
    <x v="1"/>
    <s v="Warm"/>
    <d v="2025-10-19T00:00:00"/>
    <d v="2025-10-21T00:00:00"/>
    <d v="2025-10-26T00:00:00"/>
    <d v="2025-10-28T00:00:00"/>
    <s v="No"/>
    <m/>
    <d v="2025-11-14T00:00:00"/>
    <n v="2"/>
    <n v="2"/>
    <n v="5"/>
    <n v="2"/>
    <s v="Detractor"/>
  </r>
  <r>
    <s v="L1660"/>
    <x v="0"/>
    <s v="Warm"/>
    <d v="2025-10-28T00:00:00"/>
    <d v="2025-11-02T00:00:00"/>
    <d v="2025-11-06T00:00:00"/>
    <d v="2025-11-12T00:00:00"/>
    <s v="No"/>
    <m/>
    <d v="2025-12-01T00:00:00"/>
    <n v="1"/>
    <n v="5"/>
    <n v="4"/>
    <n v="6"/>
    <s v="Detractor"/>
  </r>
  <r>
    <s v="L1661"/>
    <x v="3"/>
    <s v="Warm"/>
    <d v="2025-10-22T00:00:00"/>
    <d v="2025-10-26T00:00:00"/>
    <d v="2025-10-27T00:00:00"/>
    <d v="2025-10-31T00:00:00"/>
    <s v="No"/>
    <m/>
    <d v="2025-11-23T00:00:00"/>
    <n v="9"/>
    <n v="4"/>
    <n v="1"/>
    <n v="4"/>
    <s v="Promoter"/>
  </r>
  <r>
    <s v="L1662"/>
    <x v="0"/>
    <s v="Warm"/>
    <d v="2025-10-25T00:00:00"/>
    <d v="2025-10-26T00:00:00"/>
    <d v="2025-10-27T00:00:00"/>
    <d v="2025-10-29T00:00:00"/>
    <s v="No"/>
    <m/>
    <d v="2025-11-18T00:00:00"/>
    <n v="5"/>
    <n v="1"/>
    <n v="1"/>
    <n v="2"/>
    <s v="Detractor"/>
  </r>
  <r>
    <s v="L1663"/>
    <x v="0"/>
    <s v="Warm"/>
    <d v="2025-10-24T00:00:00"/>
    <d v="2025-10-26T00:00:00"/>
    <d v="2025-10-28T00:00:00"/>
    <d v="2025-11-03T00:00:00"/>
    <s v="No"/>
    <m/>
    <d v="2025-11-24T00:00:00"/>
    <n v="4"/>
    <n v="2"/>
    <n v="2"/>
    <n v="6"/>
    <s v="Detractor"/>
  </r>
  <r>
    <s v="L1664"/>
    <x v="0"/>
    <s v="Warm"/>
    <d v="2025-10-02T00:00:00"/>
    <d v="2025-10-03T00:00:00"/>
    <d v="2025-10-04T00:00:00"/>
    <d v="2025-10-11T00:00:00"/>
    <s v="No"/>
    <m/>
    <d v="2025-10-29T00:00:00"/>
    <n v="9"/>
    <n v="1"/>
    <n v="1"/>
    <n v="7"/>
    <s v="Promoter"/>
  </r>
  <r>
    <s v="L1665"/>
    <x v="2"/>
    <s v="Warm"/>
    <d v="2025-10-30T00:00:00"/>
    <d v="2025-11-01T00:00:00"/>
    <d v="2025-11-05T00:00:00"/>
    <d v="2025-11-07T00:00:00"/>
    <s v="No"/>
    <m/>
    <d v="2025-12-05T00:00:00"/>
    <n v="2"/>
    <n v="2"/>
    <n v="4"/>
    <n v="2"/>
    <s v="Detractor"/>
  </r>
  <r>
    <s v="L1666"/>
    <x v="2"/>
    <s v="Warm"/>
    <d v="2025-10-20T00:00:00"/>
    <d v="2025-10-23T00:00:00"/>
    <d v="2025-10-27T00:00:00"/>
    <d v="2025-10-30T00:00:00"/>
    <s v="No"/>
    <m/>
    <d v="2025-11-18T00:00:00"/>
    <n v="7"/>
    <n v="3"/>
    <n v="4"/>
    <n v="3"/>
    <s v="Passive"/>
  </r>
  <r>
    <s v="L1667"/>
    <x v="1"/>
    <s v="Warm"/>
    <d v="2025-10-24T00:00:00"/>
    <d v="2025-10-27T00:00:00"/>
    <d v="2025-10-30T00:00:00"/>
    <d v="2025-11-02T00:00:00"/>
    <s v="No"/>
    <m/>
    <d v="2025-11-26T00:00:00"/>
    <n v="0"/>
    <n v="3"/>
    <n v="3"/>
    <n v="3"/>
    <s v="Detractor"/>
  </r>
  <r>
    <s v="L1668"/>
    <x v="1"/>
    <s v="Hot"/>
    <d v="2025-10-16T00:00:00"/>
    <d v="2025-10-20T00:00:00"/>
    <d v="2025-10-25T00:00:00"/>
    <d v="2025-10-31T00:00:00"/>
    <s v="No"/>
    <m/>
    <d v="2025-11-13T00:00:00"/>
    <n v="2"/>
    <n v="4"/>
    <n v="5"/>
    <n v="6"/>
    <s v="Detractor"/>
  </r>
  <r>
    <s v="L1669"/>
    <x v="3"/>
    <s v="Hot"/>
    <d v="2025-10-27T00:00:00"/>
    <d v="2025-11-01T00:00:00"/>
    <d v="2025-11-02T00:00:00"/>
    <d v="2025-11-04T00:00:00"/>
    <s v="Yes"/>
    <s v="Other"/>
    <m/>
    <m/>
    <n v="5"/>
    <n v="1"/>
    <n v="2"/>
    <s v="Detractor"/>
  </r>
  <r>
    <s v="L1670"/>
    <x v="1"/>
    <s v="Cold"/>
    <d v="2025-10-29T00:00:00"/>
    <m/>
    <m/>
    <m/>
    <s v="Yes"/>
    <s v="Changed Mind"/>
    <m/>
    <m/>
    <m/>
    <n v="0"/>
    <n v="0"/>
    <s v="Detractor"/>
  </r>
  <r>
    <s v="L1671"/>
    <x v="0"/>
    <s v="Warm"/>
    <d v="2025-10-29T00:00:00"/>
    <d v="2025-10-30T00:00:00"/>
    <d v="2025-11-04T00:00:00"/>
    <d v="2025-11-09T00:00:00"/>
    <s v="No"/>
    <m/>
    <d v="2025-12-04T00:00:00"/>
    <n v="0"/>
    <n v="1"/>
    <n v="5"/>
    <n v="5"/>
    <s v="Detractor"/>
  </r>
  <r>
    <s v="L1672"/>
    <x v="0"/>
    <s v="Hot"/>
    <d v="2025-10-10T00:00:00"/>
    <d v="2025-10-15T00:00:00"/>
    <d v="2025-10-16T00:00:00"/>
    <d v="2025-10-18T00:00:00"/>
    <s v="No"/>
    <m/>
    <d v="2025-10-29T00:00:00"/>
    <n v="6"/>
    <n v="5"/>
    <n v="1"/>
    <n v="2"/>
    <s v="Detractor"/>
  </r>
  <r>
    <s v="L1673"/>
    <x v="2"/>
    <s v="Hot"/>
    <d v="2025-10-25T00:00:00"/>
    <d v="2025-10-27T00:00:00"/>
    <d v="2025-10-29T00:00:00"/>
    <d v="2025-11-03T00:00:00"/>
    <s v="No"/>
    <m/>
    <d v="2025-12-03T00:00:00"/>
    <n v="10"/>
    <n v="2"/>
    <n v="2"/>
    <n v="5"/>
    <s v="Promoter"/>
  </r>
  <r>
    <s v="L1674"/>
    <x v="0"/>
    <s v="Hot"/>
    <d v="2025-10-26T00:00:00"/>
    <d v="2025-10-30T00:00:00"/>
    <d v="2025-11-01T00:00:00"/>
    <d v="2025-11-05T00:00:00"/>
    <s v="No"/>
    <m/>
    <d v="2025-12-03T00:00:00"/>
    <n v="8"/>
    <n v="4"/>
    <n v="2"/>
    <n v="4"/>
    <s v="Passive"/>
  </r>
  <r>
    <s v="L1675"/>
    <x v="3"/>
    <s v="Cold"/>
    <d v="2025-10-08T00:00:00"/>
    <m/>
    <m/>
    <m/>
    <s v="Yes"/>
    <s v="Changed Mind"/>
    <m/>
    <m/>
    <m/>
    <n v="0"/>
    <n v="0"/>
    <s v="Detractor"/>
  </r>
  <r>
    <s v="L1676"/>
    <x v="0"/>
    <s v="Warm"/>
    <d v="2025-10-20T00:00:00"/>
    <d v="2025-10-23T00:00:00"/>
    <d v="2025-10-28T00:00:00"/>
    <d v="2025-11-01T00:00:00"/>
    <s v="No"/>
    <m/>
    <d v="2025-11-29T00:00:00"/>
    <n v="10"/>
    <n v="3"/>
    <n v="5"/>
    <n v="4"/>
    <s v="Promoter"/>
  </r>
  <r>
    <s v="L1677"/>
    <x v="0"/>
    <s v="Cold"/>
    <d v="2025-10-26T00:00:00"/>
    <m/>
    <m/>
    <m/>
    <s v="Yes"/>
    <s v="Other"/>
    <m/>
    <m/>
    <m/>
    <n v="0"/>
    <n v="0"/>
    <s v="Detractor"/>
  </r>
  <r>
    <s v="L1678"/>
    <x v="3"/>
    <s v="Warm"/>
    <d v="2025-10-12T00:00:00"/>
    <d v="2025-10-15T00:00:00"/>
    <d v="2025-10-19T00:00:00"/>
    <d v="2025-10-23T00:00:00"/>
    <s v="Yes"/>
    <s v="Financing Issue"/>
    <m/>
    <m/>
    <n v="3"/>
    <n v="4"/>
    <n v="4"/>
    <s v="Detractor"/>
  </r>
  <r>
    <s v="L1679"/>
    <x v="1"/>
    <s v="Warm"/>
    <d v="2025-10-08T00:00:00"/>
    <d v="2025-10-12T00:00:00"/>
    <d v="2025-10-15T00:00:00"/>
    <d v="2025-10-17T00:00:00"/>
    <s v="No"/>
    <m/>
    <d v="2025-11-15T00:00:00"/>
    <n v="10"/>
    <n v="4"/>
    <n v="3"/>
    <n v="2"/>
    <s v="Promoter"/>
  </r>
  <r>
    <s v="L1680"/>
    <x v="1"/>
    <s v="Warm"/>
    <d v="2025-10-21T00:00:00"/>
    <d v="2025-10-22T00:00:00"/>
    <d v="2025-10-23T00:00:00"/>
    <d v="2025-10-29T00:00:00"/>
    <s v="No"/>
    <m/>
    <d v="2025-11-10T00:00:00"/>
    <n v="2"/>
    <n v="1"/>
    <n v="1"/>
    <n v="6"/>
    <s v="Detractor"/>
  </r>
  <r>
    <s v="L1681"/>
    <x v="3"/>
    <s v="Warm"/>
    <d v="2025-10-07T00:00:00"/>
    <d v="2025-10-12T00:00:00"/>
    <d v="2025-10-13T00:00:00"/>
    <d v="2025-10-18T00:00:00"/>
    <s v="No"/>
    <m/>
    <d v="2025-11-12T00:00:00"/>
    <n v="9"/>
    <n v="5"/>
    <n v="1"/>
    <n v="5"/>
    <s v="Promoter"/>
  </r>
  <r>
    <s v="L1682"/>
    <x v="2"/>
    <s v="Hot"/>
    <d v="2025-10-20T00:00:00"/>
    <d v="2025-10-22T00:00:00"/>
    <d v="2025-10-25T00:00:00"/>
    <d v="2025-10-27T00:00:00"/>
    <s v="No"/>
    <m/>
    <d v="2025-11-12T00:00:00"/>
    <n v="8"/>
    <n v="2"/>
    <n v="3"/>
    <n v="2"/>
    <s v="Passive"/>
  </r>
  <r>
    <s v="L1683"/>
    <x v="0"/>
    <s v="Cold"/>
    <d v="2025-10-09T00:00:00"/>
    <m/>
    <m/>
    <m/>
    <s v="Yes"/>
    <s v="Price"/>
    <m/>
    <m/>
    <m/>
    <n v="0"/>
    <n v="0"/>
    <s v="Detractor"/>
  </r>
  <r>
    <s v="L1684"/>
    <x v="3"/>
    <s v="Cold"/>
    <d v="2025-10-22T00:00:00"/>
    <m/>
    <m/>
    <m/>
    <s v="Yes"/>
    <s v="Price"/>
    <m/>
    <m/>
    <m/>
    <n v="0"/>
    <n v="0"/>
    <s v="Detractor"/>
  </r>
  <r>
    <s v="L1685"/>
    <x v="0"/>
    <s v="Warm"/>
    <d v="2025-10-25T00:00:00"/>
    <d v="2025-10-30T00:00:00"/>
    <d v="2025-11-04T00:00:00"/>
    <d v="2025-11-08T00:00:00"/>
    <s v="No"/>
    <m/>
    <d v="2025-12-04T00:00:00"/>
    <n v="5"/>
    <n v="5"/>
    <n v="5"/>
    <n v="4"/>
    <s v="Detractor"/>
  </r>
  <r>
    <s v="L1686"/>
    <x v="2"/>
    <s v="Cold"/>
    <d v="2025-10-24T00:00:00"/>
    <m/>
    <m/>
    <m/>
    <s v="Yes"/>
    <s v="Changed Mind"/>
    <m/>
    <m/>
    <m/>
    <n v="0"/>
    <n v="0"/>
    <s v="Detractor"/>
  </r>
  <r>
    <s v="L1687"/>
    <x v="0"/>
    <s v="Cold"/>
    <d v="2025-10-25T00:00:00"/>
    <m/>
    <m/>
    <m/>
    <s v="Yes"/>
    <s v="Other"/>
    <m/>
    <m/>
    <m/>
    <n v="0"/>
    <n v="0"/>
    <s v="Detractor"/>
  </r>
  <r>
    <s v="L1688"/>
    <x v="3"/>
    <s v="Warm"/>
    <d v="2025-10-22T00:00:00"/>
    <d v="2025-10-25T00:00:00"/>
    <d v="2025-10-30T00:00:00"/>
    <d v="2025-11-02T00:00:00"/>
    <s v="No"/>
    <m/>
    <d v="2025-11-15T00:00:00"/>
    <n v="5"/>
    <n v="3"/>
    <n v="5"/>
    <n v="3"/>
    <s v="Detractor"/>
  </r>
  <r>
    <s v="L1689"/>
    <x v="0"/>
    <s v="Hot"/>
    <d v="2025-10-22T00:00:00"/>
    <d v="2025-10-26T00:00:00"/>
    <d v="2025-10-27T00:00:00"/>
    <d v="2025-10-31T00:00:00"/>
    <s v="No"/>
    <m/>
    <d v="2025-11-22T00:00:00"/>
    <n v="2"/>
    <n v="4"/>
    <n v="1"/>
    <n v="4"/>
    <s v="Detractor"/>
  </r>
  <r>
    <s v="L1690"/>
    <x v="1"/>
    <s v="Warm"/>
    <d v="2025-10-27T00:00:00"/>
    <d v="2025-10-30T00:00:00"/>
    <d v="2025-11-01T00:00:00"/>
    <d v="2025-11-07T00:00:00"/>
    <s v="No"/>
    <m/>
    <d v="2025-12-03T00:00:00"/>
    <n v="7"/>
    <n v="3"/>
    <n v="2"/>
    <n v="6"/>
    <s v="Passive"/>
  </r>
  <r>
    <s v="L1691"/>
    <x v="2"/>
    <s v="Warm"/>
    <d v="2025-10-05T00:00:00"/>
    <d v="2025-10-08T00:00:00"/>
    <d v="2025-10-11T00:00:00"/>
    <d v="2025-10-15T00:00:00"/>
    <s v="No"/>
    <m/>
    <d v="2025-11-03T00:00:00"/>
    <n v="3"/>
    <n v="3"/>
    <n v="3"/>
    <n v="4"/>
    <s v="Detractor"/>
  </r>
  <r>
    <s v="L1692"/>
    <x v="2"/>
    <s v="Hot"/>
    <d v="2025-10-21T00:00:00"/>
    <d v="2025-10-23T00:00:00"/>
    <d v="2025-10-24T00:00:00"/>
    <d v="2025-10-31T00:00:00"/>
    <s v="No"/>
    <m/>
    <d v="2025-11-23T00:00:00"/>
    <n v="8"/>
    <n v="2"/>
    <n v="1"/>
    <n v="7"/>
    <s v="Passive"/>
  </r>
  <r>
    <s v="L1693"/>
    <x v="2"/>
    <s v="Hot"/>
    <d v="2025-10-04T00:00:00"/>
    <d v="2025-10-05T00:00:00"/>
    <d v="2025-10-07T00:00:00"/>
    <d v="2025-10-13T00:00:00"/>
    <s v="No"/>
    <m/>
    <d v="2025-10-24T00:00:00"/>
    <n v="7"/>
    <n v="1"/>
    <n v="2"/>
    <n v="6"/>
    <s v="Passive"/>
  </r>
  <r>
    <s v="L1694"/>
    <x v="3"/>
    <s v="Warm"/>
    <d v="2025-10-29T00:00:00"/>
    <d v="2025-10-30T00:00:00"/>
    <d v="2025-11-04T00:00:00"/>
    <d v="2025-11-07T00:00:00"/>
    <s v="No"/>
    <m/>
    <d v="2025-11-21T00:00:00"/>
    <n v="2"/>
    <n v="1"/>
    <n v="5"/>
    <n v="3"/>
    <s v="Detractor"/>
  </r>
  <r>
    <s v="L1695"/>
    <x v="2"/>
    <s v="Hot"/>
    <d v="2025-10-21T00:00:00"/>
    <d v="2025-10-23T00:00:00"/>
    <d v="2025-10-25T00:00:00"/>
    <d v="2025-10-30T00:00:00"/>
    <s v="No"/>
    <m/>
    <d v="2025-11-13T00:00:00"/>
    <n v="2"/>
    <n v="2"/>
    <n v="2"/>
    <n v="5"/>
    <s v="Detractor"/>
  </r>
  <r>
    <s v="L1696"/>
    <x v="1"/>
    <s v="Warm"/>
    <d v="2025-10-21T00:00:00"/>
    <d v="2025-10-25T00:00:00"/>
    <d v="2025-10-29T00:00:00"/>
    <d v="2025-11-02T00:00:00"/>
    <s v="No"/>
    <m/>
    <d v="2025-11-18T00:00:00"/>
    <n v="9"/>
    <n v="4"/>
    <n v="4"/>
    <n v="4"/>
    <s v="Promoter"/>
  </r>
  <r>
    <s v="L1697"/>
    <x v="3"/>
    <s v="Cold"/>
    <d v="2025-10-02T00:00:00"/>
    <m/>
    <m/>
    <m/>
    <s v="Yes"/>
    <s v="Price"/>
    <m/>
    <m/>
    <m/>
    <n v="0"/>
    <n v="0"/>
    <s v="Detractor"/>
  </r>
  <r>
    <s v="L1698"/>
    <x v="1"/>
    <s v="Cold"/>
    <d v="2025-10-10T00:00:00"/>
    <m/>
    <m/>
    <m/>
    <s v="Yes"/>
    <s v="Price"/>
    <m/>
    <m/>
    <m/>
    <n v="0"/>
    <n v="0"/>
    <s v="Detractor"/>
  </r>
  <r>
    <s v="L1699"/>
    <x v="0"/>
    <s v="Hot"/>
    <d v="2025-10-26T00:00:00"/>
    <d v="2025-10-31T00:00:00"/>
    <d v="2025-11-01T00:00:00"/>
    <d v="2025-11-07T00:00:00"/>
    <s v="No"/>
    <m/>
    <d v="2025-11-27T00:00:00"/>
    <n v="7"/>
    <n v="5"/>
    <n v="1"/>
    <n v="6"/>
    <s v="Passive"/>
  </r>
  <r>
    <s v="L1700"/>
    <x v="0"/>
    <s v="Cold"/>
    <d v="2025-10-15T00:00:00"/>
    <m/>
    <m/>
    <m/>
    <s v="Yes"/>
    <s v="Financing Issue"/>
    <m/>
    <m/>
    <m/>
    <n v="0"/>
    <n v="0"/>
    <s v="Detractor"/>
  </r>
  <r>
    <s v="L1701"/>
    <x v="0"/>
    <s v="Hot"/>
    <d v="2025-10-02T00:00:00"/>
    <d v="2025-10-06T00:00:00"/>
    <d v="2025-10-09T00:00:00"/>
    <d v="2025-10-14T00:00:00"/>
    <s v="No"/>
    <m/>
    <d v="2025-11-06T00:00:00"/>
    <n v="9"/>
    <n v="4"/>
    <n v="3"/>
    <n v="5"/>
    <s v="Promoter"/>
  </r>
  <r>
    <s v="L1702"/>
    <x v="0"/>
    <s v="Hot"/>
    <d v="2025-10-19T00:00:00"/>
    <d v="2025-10-24T00:00:00"/>
    <d v="2025-10-26T00:00:00"/>
    <d v="2025-10-29T00:00:00"/>
    <s v="Yes"/>
    <s v="Model Unavailable"/>
    <m/>
    <m/>
    <n v="5"/>
    <n v="2"/>
    <n v="3"/>
    <s v="Detractor"/>
  </r>
  <r>
    <s v="L1703"/>
    <x v="1"/>
    <s v="Warm"/>
    <d v="2025-10-12T00:00:00"/>
    <d v="2025-10-13T00:00:00"/>
    <d v="2025-10-18T00:00:00"/>
    <d v="2025-10-25T00:00:00"/>
    <s v="No"/>
    <m/>
    <d v="2025-11-22T00:00:00"/>
    <n v="2"/>
    <n v="1"/>
    <n v="5"/>
    <n v="7"/>
    <s v="Detractor"/>
  </r>
  <r>
    <s v="L1704"/>
    <x v="3"/>
    <s v="Warm"/>
    <d v="2025-10-24T00:00:00"/>
    <d v="2025-10-27T00:00:00"/>
    <d v="2025-10-29T00:00:00"/>
    <d v="2025-11-04T00:00:00"/>
    <s v="No"/>
    <m/>
    <d v="2025-11-28T00:00:00"/>
    <n v="9"/>
    <n v="3"/>
    <n v="2"/>
    <n v="6"/>
    <s v="Promoter"/>
  </r>
  <r>
    <s v="L1705"/>
    <x v="3"/>
    <s v="Warm"/>
    <d v="2025-10-05T00:00:00"/>
    <d v="2025-10-08T00:00:00"/>
    <d v="2025-10-13T00:00:00"/>
    <d v="2025-10-16T00:00:00"/>
    <s v="No"/>
    <m/>
    <d v="2025-10-30T00:00:00"/>
    <n v="2"/>
    <n v="3"/>
    <n v="5"/>
    <n v="3"/>
    <s v="Detractor"/>
  </r>
  <r>
    <s v="L1706"/>
    <x v="2"/>
    <s v="Warm"/>
    <d v="2025-10-03T00:00:00"/>
    <d v="2025-10-07T00:00:00"/>
    <d v="2025-10-11T00:00:00"/>
    <d v="2025-10-14T00:00:00"/>
    <s v="No"/>
    <m/>
    <d v="2025-11-03T00:00:00"/>
    <n v="6"/>
    <n v="4"/>
    <n v="4"/>
    <n v="3"/>
    <s v="Detractor"/>
  </r>
  <r>
    <s v="L1707"/>
    <x v="1"/>
    <s v="Hot"/>
    <d v="2025-10-30T00:00:00"/>
    <d v="2025-11-01T00:00:00"/>
    <d v="2025-11-06T00:00:00"/>
    <d v="2025-11-08T00:00:00"/>
    <s v="Yes"/>
    <s v="Changed Mind"/>
    <m/>
    <m/>
    <n v="2"/>
    <n v="5"/>
    <n v="2"/>
    <s v="Detractor"/>
  </r>
  <r>
    <s v="L1708"/>
    <x v="0"/>
    <s v="Hot"/>
    <d v="2025-10-10T00:00:00"/>
    <d v="2025-10-15T00:00:00"/>
    <d v="2025-10-18T00:00:00"/>
    <d v="2025-10-23T00:00:00"/>
    <s v="No"/>
    <m/>
    <d v="2025-11-07T00:00:00"/>
    <n v="2"/>
    <n v="5"/>
    <n v="3"/>
    <n v="5"/>
    <s v="Detractor"/>
  </r>
  <r>
    <s v="L1709"/>
    <x v="1"/>
    <s v="Warm"/>
    <d v="2025-10-11T00:00:00"/>
    <d v="2025-10-14T00:00:00"/>
    <d v="2025-10-18T00:00:00"/>
    <d v="2025-10-20T00:00:00"/>
    <s v="No"/>
    <m/>
    <d v="2025-11-01T00:00:00"/>
    <n v="6"/>
    <n v="3"/>
    <n v="4"/>
    <n v="2"/>
    <s v="Detractor"/>
  </r>
  <r>
    <s v="L1710"/>
    <x v="2"/>
    <s v="Warm"/>
    <d v="2025-10-24T00:00:00"/>
    <d v="2025-10-28T00:00:00"/>
    <d v="2025-10-30T00:00:00"/>
    <d v="2025-11-02T00:00:00"/>
    <s v="No"/>
    <m/>
    <d v="2025-11-27T00:00:00"/>
    <n v="8"/>
    <n v="4"/>
    <n v="2"/>
    <n v="3"/>
    <s v="Passive"/>
  </r>
  <r>
    <s v="L1711"/>
    <x v="2"/>
    <s v="Warm"/>
    <d v="2025-10-14T00:00:00"/>
    <d v="2025-10-16T00:00:00"/>
    <d v="2025-10-17T00:00:00"/>
    <d v="2025-10-23T00:00:00"/>
    <s v="No"/>
    <m/>
    <d v="2025-11-12T00:00:00"/>
    <n v="2"/>
    <n v="2"/>
    <n v="1"/>
    <n v="6"/>
    <s v="Detractor"/>
  </r>
  <r>
    <s v="L1712"/>
    <x v="1"/>
    <s v="Hot"/>
    <d v="2025-10-06T00:00:00"/>
    <d v="2025-10-07T00:00:00"/>
    <d v="2025-10-12T00:00:00"/>
    <d v="2025-10-16T00:00:00"/>
    <s v="No"/>
    <m/>
    <d v="2025-11-15T00:00:00"/>
    <n v="5"/>
    <n v="1"/>
    <n v="5"/>
    <n v="4"/>
    <s v="Detractor"/>
  </r>
  <r>
    <s v="L1713"/>
    <x v="1"/>
    <s v="Warm"/>
    <d v="2025-10-07T00:00:00"/>
    <d v="2025-10-09T00:00:00"/>
    <d v="2025-10-12T00:00:00"/>
    <d v="2025-10-19T00:00:00"/>
    <s v="No"/>
    <m/>
    <d v="2025-11-03T00:00:00"/>
    <n v="8"/>
    <n v="2"/>
    <n v="3"/>
    <n v="7"/>
    <s v="Passive"/>
  </r>
  <r>
    <s v="L1714"/>
    <x v="1"/>
    <s v="Hot"/>
    <d v="2025-10-05T00:00:00"/>
    <d v="2025-10-06T00:00:00"/>
    <d v="2025-10-07T00:00:00"/>
    <d v="2025-10-14T00:00:00"/>
    <s v="No"/>
    <m/>
    <d v="2025-11-03T00:00:00"/>
    <n v="7"/>
    <n v="1"/>
    <n v="1"/>
    <n v="7"/>
    <s v="Passive"/>
  </r>
  <r>
    <s v="L1715"/>
    <x v="3"/>
    <s v="Hot"/>
    <d v="2025-10-26T00:00:00"/>
    <d v="2025-10-30T00:00:00"/>
    <d v="2025-10-31T00:00:00"/>
    <d v="2025-11-02T00:00:00"/>
    <s v="No"/>
    <m/>
    <d v="2025-12-02T00:00:00"/>
    <n v="7"/>
    <n v="4"/>
    <n v="1"/>
    <n v="2"/>
    <s v="Passive"/>
  </r>
  <r>
    <s v="L1716"/>
    <x v="0"/>
    <s v="Warm"/>
    <d v="2025-10-18T00:00:00"/>
    <d v="2025-10-20T00:00:00"/>
    <d v="2025-10-24T00:00:00"/>
    <d v="2025-10-28T00:00:00"/>
    <s v="No"/>
    <m/>
    <d v="2025-11-08T00:00:00"/>
    <n v="9"/>
    <n v="2"/>
    <n v="4"/>
    <n v="4"/>
    <s v="Promoter"/>
  </r>
  <r>
    <s v="L1717"/>
    <x v="1"/>
    <s v="Hot"/>
    <d v="2025-10-29T00:00:00"/>
    <d v="2025-11-02T00:00:00"/>
    <d v="2025-11-04T00:00:00"/>
    <d v="2025-11-06T00:00:00"/>
    <s v="No"/>
    <m/>
    <d v="2025-11-16T00:00:00"/>
    <n v="7"/>
    <n v="4"/>
    <n v="2"/>
    <n v="2"/>
    <s v="Passive"/>
  </r>
  <r>
    <s v="L1718"/>
    <x v="1"/>
    <s v="Hot"/>
    <d v="2025-10-12T00:00:00"/>
    <d v="2025-10-13T00:00:00"/>
    <d v="2025-10-14T00:00:00"/>
    <d v="2025-10-21T00:00:00"/>
    <s v="No"/>
    <m/>
    <d v="2025-11-14T00:00:00"/>
    <n v="2"/>
    <n v="1"/>
    <n v="1"/>
    <n v="7"/>
    <s v="Detractor"/>
  </r>
  <r>
    <s v="L1719"/>
    <x v="1"/>
    <s v="Warm"/>
    <d v="2025-10-17T00:00:00"/>
    <d v="2025-10-20T00:00:00"/>
    <d v="2025-10-23T00:00:00"/>
    <d v="2025-10-28T00:00:00"/>
    <s v="No"/>
    <m/>
    <d v="2025-11-15T00:00:00"/>
    <n v="7"/>
    <n v="3"/>
    <n v="3"/>
    <n v="5"/>
    <s v="Passive"/>
  </r>
  <r>
    <s v="L1720"/>
    <x v="2"/>
    <s v="Warm"/>
    <d v="2025-10-17T00:00:00"/>
    <d v="2025-10-20T00:00:00"/>
    <d v="2025-10-25T00:00:00"/>
    <d v="2025-11-01T00:00:00"/>
    <s v="No"/>
    <m/>
    <d v="2025-11-17T00:00:00"/>
    <n v="4"/>
    <n v="3"/>
    <n v="5"/>
    <n v="7"/>
    <s v="Detractor"/>
  </r>
  <r>
    <s v="L1721"/>
    <x v="2"/>
    <s v="Warm"/>
    <d v="2025-10-30T00:00:00"/>
    <d v="2025-10-31T00:00:00"/>
    <d v="2025-11-05T00:00:00"/>
    <d v="2025-11-12T00:00:00"/>
    <s v="No"/>
    <m/>
    <d v="2025-11-27T00:00:00"/>
    <n v="6"/>
    <n v="1"/>
    <n v="5"/>
    <n v="7"/>
    <s v="Detractor"/>
  </r>
  <r>
    <s v="L1722"/>
    <x v="3"/>
    <s v="Hot"/>
    <d v="2025-10-09T00:00:00"/>
    <d v="2025-10-14T00:00:00"/>
    <d v="2025-10-19T00:00:00"/>
    <d v="2025-10-23T00:00:00"/>
    <s v="No"/>
    <m/>
    <d v="2025-11-20T00:00:00"/>
    <n v="3"/>
    <n v="5"/>
    <n v="5"/>
    <n v="4"/>
    <s v="Detractor"/>
  </r>
  <r>
    <s v="L1723"/>
    <x v="0"/>
    <s v="Hot"/>
    <d v="2025-10-27T00:00:00"/>
    <d v="2025-11-01T00:00:00"/>
    <d v="2025-11-05T00:00:00"/>
    <d v="2025-11-07T00:00:00"/>
    <s v="No"/>
    <m/>
    <d v="2025-11-22T00:00:00"/>
    <n v="4"/>
    <n v="5"/>
    <n v="4"/>
    <n v="2"/>
    <s v="Detractor"/>
  </r>
  <r>
    <s v="L1724"/>
    <x v="3"/>
    <s v="Hot"/>
    <d v="2025-10-06T00:00:00"/>
    <d v="2025-10-09T00:00:00"/>
    <d v="2025-10-12T00:00:00"/>
    <d v="2025-10-15T00:00:00"/>
    <s v="No"/>
    <m/>
    <d v="2025-11-09T00:00:00"/>
    <n v="10"/>
    <n v="3"/>
    <n v="3"/>
    <n v="3"/>
    <s v="Promoter"/>
  </r>
  <r>
    <s v="L1725"/>
    <x v="0"/>
    <s v="Hot"/>
    <d v="2025-10-09T00:00:00"/>
    <d v="2025-10-12T00:00:00"/>
    <d v="2025-10-13T00:00:00"/>
    <d v="2025-10-19T00:00:00"/>
    <s v="No"/>
    <m/>
    <d v="2025-10-31T00:00:00"/>
    <n v="8"/>
    <n v="3"/>
    <n v="1"/>
    <n v="6"/>
    <s v="Passive"/>
  </r>
  <r>
    <s v="L1726"/>
    <x v="2"/>
    <s v="Warm"/>
    <d v="2025-10-30T00:00:00"/>
    <d v="2025-11-01T00:00:00"/>
    <d v="2025-11-04T00:00:00"/>
    <d v="2025-11-07T00:00:00"/>
    <s v="No"/>
    <m/>
    <d v="2025-11-21T00:00:00"/>
    <n v="10"/>
    <n v="2"/>
    <n v="3"/>
    <n v="3"/>
    <s v="Promoter"/>
  </r>
  <r>
    <s v="L1727"/>
    <x v="2"/>
    <s v="Cold"/>
    <d v="2025-10-27T00:00:00"/>
    <m/>
    <m/>
    <m/>
    <s v="Yes"/>
    <s v="Changed Mind"/>
    <m/>
    <m/>
    <m/>
    <n v="0"/>
    <n v="0"/>
    <s v="Detractor"/>
  </r>
  <r>
    <s v="L1728"/>
    <x v="2"/>
    <s v="Warm"/>
    <d v="2025-10-31T00:00:00"/>
    <d v="2025-11-02T00:00:00"/>
    <d v="2025-11-06T00:00:00"/>
    <d v="2025-11-11T00:00:00"/>
    <s v="No"/>
    <m/>
    <d v="2025-12-10T00:00:00"/>
    <n v="3"/>
    <n v="2"/>
    <n v="4"/>
    <n v="5"/>
    <s v="Detractor"/>
  </r>
  <r>
    <s v="L1729"/>
    <x v="3"/>
    <s v="Warm"/>
    <d v="2025-10-16T00:00:00"/>
    <d v="2025-10-19T00:00:00"/>
    <d v="2025-10-23T00:00:00"/>
    <d v="2025-10-28T00:00:00"/>
    <s v="No"/>
    <m/>
    <d v="2025-11-20T00:00:00"/>
    <n v="9"/>
    <n v="3"/>
    <n v="4"/>
    <n v="5"/>
    <s v="Promoter"/>
  </r>
  <r>
    <s v="L1730"/>
    <x v="1"/>
    <s v="Warm"/>
    <d v="2025-10-31T00:00:00"/>
    <d v="2025-11-05T00:00:00"/>
    <d v="2025-11-07T00:00:00"/>
    <d v="2025-11-09T00:00:00"/>
    <s v="No"/>
    <m/>
    <d v="2025-12-09T00:00:00"/>
    <n v="1"/>
    <n v="5"/>
    <n v="2"/>
    <n v="2"/>
    <s v="Detractor"/>
  </r>
  <r>
    <s v="L1731"/>
    <x v="1"/>
    <s v="Warm"/>
    <d v="2025-10-26T00:00:00"/>
    <d v="2025-10-28T00:00:00"/>
    <d v="2025-10-31T00:00:00"/>
    <d v="2025-11-03T00:00:00"/>
    <s v="No"/>
    <m/>
    <d v="2025-11-26T00:00:00"/>
    <n v="8"/>
    <n v="2"/>
    <n v="3"/>
    <n v="3"/>
    <s v="Passive"/>
  </r>
  <r>
    <s v="L1732"/>
    <x v="2"/>
    <s v="Warm"/>
    <d v="2025-10-10T00:00:00"/>
    <d v="2025-10-11T00:00:00"/>
    <d v="2025-10-16T00:00:00"/>
    <d v="2025-10-23T00:00:00"/>
    <s v="No"/>
    <m/>
    <d v="2025-11-14T00:00:00"/>
    <n v="6"/>
    <n v="1"/>
    <n v="5"/>
    <n v="7"/>
    <s v="Detractor"/>
  </r>
  <r>
    <s v="L1733"/>
    <x v="1"/>
    <s v="Warm"/>
    <d v="2025-10-24T00:00:00"/>
    <d v="2025-10-26T00:00:00"/>
    <d v="2025-10-30T00:00:00"/>
    <d v="2025-11-03T00:00:00"/>
    <s v="No"/>
    <m/>
    <d v="2025-11-26T00:00:00"/>
    <n v="4"/>
    <n v="2"/>
    <n v="4"/>
    <n v="4"/>
    <s v="Detractor"/>
  </r>
  <r>
    <s v="L1734"/>
    <x v="1"/>
    <s v="Warm"/>
    <d v="2025-10-28T00:00:00"/>
    <d v="2025-10-30T00:00:00"/>
    <d v="2025-11-03T00:00:00"/>
    <d v="2025-11-05T00:00:00"/>
    <s v="No"/>
    <m/>
    <d v="2025-11-30T00:00:00"/>
    <n v="4"/>
    <n v="2"/>
    <n v="4"/>
    <n v="2"/>
    <s v="Detractor"/>
  </r>
  <r>
    <s v="L1735"/>
    <x v="3"/>
    <s v="Hot"/>
    <d v="2025-10-11T00:00:00"/>
    <d v="2025-10-13T00:00:00"/>
    <d v="2025-10-15T00:00:00"/>
    <d v="2025-10-17T00:00:00"/>
    <s v="No"/>
    <m/>
    <d v="2025-11-08T00:00:00"/>
    <n v="9"/>
    <n v="2"/>
    <n v="2"/>
    <n v="2"/>
    <s v="Promoter"/>
  </r>
  <r>
    <s v="L1736"/>
    <x v="0"/>
    <s v="Warm"/>
    <d v="2025-10-26T00:00:00"/>
    <d v="2025-10-30T00:00:00"/>
    <d v="2025-11-04T00:00:00"/>
    <d v="2025-11-07T00:00:00"/>
    <s v="No"/>
    <m/>
    <d v="2025-11-17T00:00:00"/>
    <n v="0"/>
    <n v="4"/>
    <n v="5"/>
    <n v="3"/>
    <s v="Detractor"/>
  </r>
  <r>
    <s v="L1737"/>
    <x v="2"/>
    <s v="Cold"/>
    <d v="2025-10-04T00:00:00"/>
    <m/>
    <m/>
    <m/>
    <s v="Yes"/>
    <s v="Model Unavailable"/>
    <m/>
    <m/>
    <m/>
    <n v="0"/>
    <n v="0"/>
    <s v="Detractor"/>
  </r>
  <r>
    <s v="L1738"/>
    <x v="2"/>
    <s v="Hot"/>
    <d v="2025-10-15T00:00:00"/>
    <d v="2025-10-16T00:00:00"/>
    <d v="2025-10-20T00:00:00"/>
    <d v="2025-10-26T00:00:00"/>
    <s v="No"/>
    <m/>
    <d v="2025-11-06T00:00:00"/>
    <n v="7"/>
    <n v="1"/>
    <n v="4"/>
    <n v="6"/>
    <s v="Passive"/>
  </r>
  <r>
    <s v="L1739"/>
    <x v="3"/>
    <s v="Hot"/>
    <d v="2025-10-31T00:00:00"/>
    <d v="2025-11-03T00:00:00"/>
    <d v="2025-11-04T00:00:00"/>
    <d v="2025-11-09T00:00:00"/>
    <s v="No"/>
    <m/>
    <d v="2025-12-06T00:00:00"/>
    <n v="7"/>
    <n v="3"/>
    <n v="1"/>
    <n v="5"/>
    <s v="Passive"/>
  </r>
  <r>
    <s v="L1740"/>
    <x v="3"/>
    <s v="Warm"/>
    <d v="2025-10-03T00:00:00"/>
    <d v="2025-10-08T00:00:00"/>
    <d v="2025-10-13T00:00:00"/>
    <d v="2025-10-20T00:00:00"/>
    <s v="No"/>
    <m/>
    <d v="2025-11-05T00:00:00"/>
    <n v="1"/>
    <n v="5"/>
    <n v="5"/>
    <n v="7"/>
    <s v="Detractor"/>
  </r>
  <r>
    <s v="L1741"/>
    <x v="1"/>
    <s v="Warm"/>
    <d v="2025-10-05T00:00:00"/>
    <d v="2025-10-10T00:00:00"/>
    <d v="2025-10-13T00:00:00"/>
    <d v="2025-10-17T00:00:00"/>
    <s v="No"/>
    <m/>
    <d v="2025-11-07T00:00:00"/>
    <n v="2"/>
    <n v="5"/>
    <n v="3"/>
    <n v="4"/>
    <s v="Detractor"/>
  </r>
  <r>
    <s v="L1742"/>
    <x v="2"/>
    <s v="Warm"/>
    <d v="2025-10-25T00:00:00"/>
    <d v="2025-10-28T00:00:00"/>
    <d v="2025-10-30T00:00:00"/>
    <d v="2025-11-04T00:00:00"/>
    <s v="No"/>
    <m/>
    <d v="2025-11-14T00:00:00"/>
    <n v="2"/>
    <n v="3"/>
    <n v="2"/>
    <n v="5"/>
    <s v="Detractor"/>
  </r>
  <r>
    <s v="L1743"/>
    <x v="0"/>
    <s v="Warm"/>
    <d v="2025-10-31T00:00:00"/>
    <d v="2025-11-04T00:00:00"/>
    <d v="2025-11-05T00:00:00"/>
    <d v="2025-11-12T00:00:00"/>
    <s v="No"/>
    <m/>
    <d v="2025-12-02T00:00:00"/>
    <n v="1"/>
    <n v="4"/>
    <n v="1"/>
    <n v="7"/>
    <s v="Detractor"/>
  </r>
  <r>
    <s v="L1744"/>
    <x v="3"/>
    <s v="Hot"/>
    <d v="2025-10-08T00:00:00"/>
    <d v="2025-10-13T00:00:00"/>
    <d v="2025-10-14T00:00:00"/>
    <d v="2025-10-16T00:00:00"/>
    <s v="No"/>
    <m/>
    <d v="2025-11-11T00:00:00"/>
    <n v="5"/>
    <n v="5"/>
    <n v="1"/>
    <n v="2"/>
    <s v="Detractor"/>
  </r>
  <r>
    <s v="L1745"/>
    <x v="0"/>
    <s v="Warm"/>
    <d v="2025-10-28T00:00:00"/>
    <d v="2025-10-30T00:00:00"/>
    <d v="2025-11-02T00:00:00"/>
    <d v="2025-11-08T00:00:00"/>
    <s v="No"/>
    <m/>
    <d v="2025-11-24T00:00:00"/>
    <n v="9"/>
    <n v="2"/>
    <n v="3"/>
    <n v="6"/>
    <s v="Promoter"/>
  </r>
  <r>
    <s v="L1746"/>
    <x v="0"/>
    <s v="Warm"/>
    <d v="2025-10-22T00:00:00"/>
    <d v="2025-10-27T00:00:00"/>
    <d v="2025-10-29T00:00:00"/>
    <d v="2025-10-31T00:00:00"/>
    <s v="Yes"/>
    <s v="Price"/>
    <m/>
    <m/>
    <n v="5"/>
    <n v="2"/>
    <n v="2"/>
    <s v="Detractor"/>
  </r>
  <r>
    <s v="L1747"/>
    <x v="2"/>
    <s v="Cold"/>
    <d v="2025-10-24T00:00:00"/>
    <m/>
    <m/>
    <m/>
    <s v="Yes"/>
    <s v="Financing Issue"/>
    <m/>
    <m/>
    <m/>
    <n v="0"/>
    <n v="0"/>
    <s v="Detractor"/>
  </r>
  <r>
    <s v="L1748"/>
    <x v="2"/>
    <s v="Warm"/>
    <d v="2025-10-22T00:00:00"/>
    <d v="2025-10-23T00:00:00"/>
    <d v="2025-10-27T00:00:00"/>
    <d v="2025-11-02T00:00:00"/>
    <s v="No"/>
    <m/>
    <d v="2025-11-12T00:00:00"/>
    <n v="7"/>
    <n v="1"/>
    <n v="4"/>
    <n v="6"/>
    <s v="Passive"/>
  </r>
  <r>
    <s v="L1749"/>
    <x v="3"/>
    <s v="Hot"/>
    <d v="2025-10-13T00:00:00"/>
    <d v="2025-10-14T00:00:00"/>
    <d v="2025-10-16T00:00:00"/>
    <d v="2025-10-19T00:00:00"/>
    <s v="No"/>
    <m/>
    <d v="2025-10-29T00:00:00"/>
    <n v="0"/>
    <n v="1"/>
    <n v="2"/>
    <n v="3"/>
    <s v="Detractor"/>
  </r>
  <r>
    <s v="L1750"/>
    <x v="2"/>
    <s v="Hot"/>
    <d v="2025-10-31T00:00:00"/>
    <d v="2025-11-03T00:00:00"/>
    <d v="2025-11-07T00:00:00"/>
    <d v="2025-11-14T00:00:00"/>
    <s v="No"/>
    <m/>
    <d v="2025-12-14T00:00:00"/>
    <n v="7"/>
    <n v="3"/>
    <n v="4"/>
    <n v="7"/>
    <s v="Passive"/>
  </r>
  <r>
    <s v="L1751"/>
    <x v="2"/>
    <s v="Hot"/>
    <d v="2025-10-28T00:00:00"/>
    <d v="2025-11-01T00:00:00"/>
    <d v="2025-11-04T00:00:00"/>
    <d v="2025-11-09T00:00:00"/>
    <s v="No"/>
    <m/>
    <d v="2025-11-26T00:00:00"/>
    <n v="4"/>
    <n v="4"/>
    <n v="3"/>
    <n v="5"/>
    <s v="Detractor"/>
  </r>
  <r>
    <s v="L1752"/>
    <x v="2"/>
    <s v="Warm"/>
    <d v="2025-10-26T00:00:00"/>
    <d v="2025-10-30T00:00:00"/>
    <d v="2025-11-02T00:00:00"/>
    <d v="2025-11-04T00:00:00"/>
    <s v="No"/>
    <m/>
    <d v="2025-11-21T00:00:00"/>
    <n v="4"/>
    <n v="4"/>
    <n v="3"/>
    <n v="2"/>
    <s v="Detractor"/>
  </r>
  <r>
    <s v="L1753"/>
    <x v="0"/>
    <s v="Hot"/>
    <d v="2025-10-18T00:00:00"/>
    <d v="2025-10-23T00:00:00"/>
    <d v="2025-10-24T00:00:00"/>
    <d v="2025-10-30T00:00:00"/>
    <s v="No"/>
    <m/>
    <d v="2025-11-20T00:00:00"/>
    <n v="9"/>
    <n v="5"/>
    <n v="1"/>
    <n v="6"/>
    <s v="Promoter"/>
  </r>
  <r>
    <s v="L1754"/>
    <x v="3"/>
    <s v="Warm"/>
    <d v="2025-10-12T00:00:00"/>
    <d v="2025-10-16T00:00:00"/>
    <d v="2025-10-17T00:00:00"/>
    <d v="2025-10-23T00:00:00"/>
    <s v="No"/>
    <m/>
    <d v="2025-11-11T00:00:00"/>
    <n v="6"/>
    <n v="4"/>
    <n v="1"/>
    <n v="6"/>
    <s v="Detractor"/>
  </r>
  <r>
    <s v="L1755"/>
    <x v="1"/>
    <s v="Warm"/>
    <d v="2025-10-03T00:00:00"/>
    <d v="2025-10-07T00:00:00"/>
    <d v="2025-10-08T00:00:00"/>
    <d v="2025-10-10T00:00:00"/>
    <s v="No"/>
    <m/>
    <d v="2025-10-24T00:00:00"/>
    <n v="5"/>
    <n v="4"/>
    <n v="1"/>
    <n v="2"/>
    <s v="Detractor"/>
  </r>
  <r>
    <s v="L1756"/>
    <x v="0"/>
    <s v="Hot"/>
    <d v="2025-10-26T00:00:00"/>
    <d v="2025-10-31T00:00:00"/>
    <d v="2025-11-03T00:00:00"/>
    <d v="2025-11-08T00:00:00"/>
    <s v="No"/>
    <m/>
    <d v="2025-11-21T00:00:00"/>
    <n v="7"/>
    <n v="5"/>
    <n v="3"/>
    <n v="5"/>
    <s v="Passive"/>
  </r>
  <r>
    <s v="L1757"/>
    <x v="2"/>
    <s v="Hot"/>
    <d v="2025-10-13T00:00:00"/>
    <d v="2025-10-14T00:00:00"/>
    <d v="2025-10-18T00:00:00"/>
    <d v="2025-10-25T00:00:00"/>
    <s v="No"/>
    <m/>
    <d v="2025-11-16T00:00:00"/>
    <n v="6"/>
    <n v="1"/>
    <n v="4"/>
    <n v="7"/>
    <s v="Detractor"/>
  </r>
  <r>
    <s v="L1758"/>
    <x v="0"/>
    <s v="Hot"/>
    <d v="2025-10-01T00:00:00"/>
    <d v="2025-10-03T00:00:00"/>
    <d v="2025-10-06T00:00:00"/>
    <d v="2025-10-09T00:00:00"/>
    <s v="No"/>
    <m/>
    <d v="2025-11-04T00:00:00"/>
    <n v="6"/>
    <n v="2"/>
    <n v="3"/>
    <n v="3"/>
    <s v="Detractor"/>
  </r>
  <r>
    <s v="L1759"/>
    <x v="2"/>
    <s v="Cold"/>
    <d v="2025-10-09T00:00:00"/>
    <m/>
    <m/>
    <m/>
    <s v="Yes"/>
    <s v="Financing Issue"/>
    <m/>
    <m/>
    <m/>
    <n v="0"/>
    <n v="0"/>
    <s v="Detractor"/>
  </r>
  <r>
    <s v="L1760"/>
    <x v="2"/>
    <s v="Hot"/>
    <d v="2025-10-18T00:00:00"/>
    <d v="2025-10-21T00:00:00"/>
    <d v="2025-10-24T00:00:00"/>
    <d v="2025-10-27T00:00:00"/>
    <s v="No"/>
    <m/>
    <d v="2025-11-24T00:00:00"/>
    <n v="2"/>
    <n v="3"/>
    <n v="3"/>
    <n v="3"/>
    <s v="Detractor"/>
  </r>
  <r>
    <s v="L1761"/>
    <x v="0"/>
    <s v="Warm"/>
    <d v="2025-10-04T00:00:00"/>
    <d v="2025-10-05T00:00:00"/>
    <d v="2025-10-06T00:00:00"/>
    <d v="2025-10-10T00:00:00"/>
    <s v="No"/>
    <m/>
    <d v="2025-10-29T00:00:00"/>
    <n v="8"/>
    <n v="1"/>
    <n v="1"/>
    <n v="4"/>
    <s v="Passive"/>
  </r>
  <r>
    <s v="L1762"/>
    <x v="3"/>
    <s v="Cold"/>
    <d v="2025-10-15T00:00:00"/>
    <m/>
    <m/>
    <m/>
    <s v="Yes"/>
    <s v="Changed Mind"/>
    <m/>
    <m/>
    <m/>
    <n v="0"/>
    <n v="0"/>
    <s v="Detractor"/>
  </r>
  <r>
    <s v="L1763"/>
    <x v="2"/>
    <s v="Warm"/>
    <d v="2025-10-12T00:00:00"/>
    <d v="2025-10-16T00:00:00"/>
    <d v="2025-10-18T00:00:00"/>
    <d v="2025-10-22T00:00:00"/>
    <s v="Yes"/>
    <s v="Financing Issue"/>
    <m/>
    <m/>
    <n v="4"/>
    <n v="2"/>
    <n v="4"/>
    <s v="Detractor"/>
  </r>
  <r>
    <s v="L1764"/>
    <x v="3"/>
    <s v="Cold"/>
    <d v="2025-10-22T00:00:00"/>
    <m/>
    <m/>
    <m/>
    <s v="Yes"/>
    <s v="Model Unavailable"/>
    <m/>
    <m/>
    <m/>
    <n v="0"/>
    <n v="0"/>
    <s v="Detractor"/>
  </r>
  <r>
    <s v="L1765"/>
    <x v="1"/>
    <s v="Warm"/>
    <d v="2025-10-24T00:00:00"/>
    <d v="2025-10-28T00:00:00"/>
    <d v="2025-10-29T00:00:00"/>
    <d v="2025-11-02T00:00:00"/>
    <s v="No"/>
    <m/>
    <d v="2025-11-17T00:00:00"/>
    <n v="1"/>
    <n v="4"/>
    <n v="1"/>
    <n v="4"/>
    <s v="Detractor"/>
  </r>
  <r>
    <s v="L1766"/>
    <x v="2"/>
    <s v="Cold"/>
    <d v="2025-10-22T00:00:00"/>
    <m/>
    <m/>
    <m/>
    <s v="Yes"/>
    <s v="Price"/>
    <m/>
    <m/>
    <m/>
    <n v="0"/>
    <n v="0"/>
    <s v="Detractor"/>
  </r>
  <r>
    <s v="L1767"/>
    <x v="3"/>
    <s v="Hot"/>
    <d v="2025-10-09T00:00:00"/>
    <d v="2025-10-14T00:00:00"/>
    <d v="2025-10-16T00:00:00"/>
    <d v="2025-10-21T00:00:00"/>
    <s v="No"/>
    <m/>
    <d v="2025-11-02T00:00:00"/>
    <n v="0"/>
    <n v="5"/>
    <n v="2"/>
    <n v="5"/>
    <s v="Detractor"/>
  </r>
  <r>
    <s v="L1768"/>
    <x v="3"/>
    <s v="Hot"/>
    <d v="2025-10-19T00:00:00"/>
    <d v="2025-10-22T00:00:00"/>
    <d v="2025-10-26T00:00:00"/>
    <d v="2025-11-02T00:00:00"/>
    <s v="No"/>
    <m/>
    <d v="2025-11-13T00:00:00"/>
    <n v="4"/>
    <n v="3"/>
    <n v="4"/>
    <n v="7"/>
    <s v="Detractor"/>
  </r>
  <r>
    <s v="L1769"/>
    <x v="1"/>
    <s v="Warm"/>
    <d v="2025-10-13T00:00:00"/>
    <d v="2025-10-15T00:00:00"/>
    <d v="2025-10-19T00:00:00"/>
    <d v="2025-10-26T00:00:00"/>
    <s v="No"/>
    <m/>
    <d v="2025-11-14T00:00:00"/>
    <n v="0"/>
    <n v="2"/>
    <n v="4"/>
    <n v="7"/>
    <s v="Detractor"/>
  </r>
  <r>
    <s v="L1770"/>
    <x v="3"/>
    <s v="Cold"/>
    <d v="2025-10-27T00:00:00"/>
    <m/>
    <m/>
    <m/>
    <s v="Yes"/>
    <s v="Model Unavailable"/>
    <m/>
    <m/>
    <m/>
    <n v="0"/>
    <n v="0"/>
    <s v="Detractor"/>
  </r>
  <r>
    <s v="L1771"/>
    <x v="3"/>
    <s v="Cold"/>
    <d v="2025-10-21T00:00:00"/>
    <m/>
    <m/>
    <m/>
    <s v="Yes"/>
    <s v="Other"/>
    <m/>
    <m/>
    <m/>
    <n v="0"/>
    <n v="0"/>
    <s v="Detractor"/>
  </r>
  <r>
    <s v="L1772"/>
    <x v="1"/>
    <s v="Hot"/>
    <d v="2025-10-31T00:00:00"/>
    <d v="2025-11-05T00:00:00"/>
    <d v="2025-11-10T00:00:00"/>
    <d v="2025-11-14T00:00:00"/>
    <s v="No"/>
    <m/>
    <d v="2025-12-03T00:00:00"/>
    <n v="4"/>
    <n v="5"/>
    <n v="5"/>
    <n v="4"/>
    <s v="Detractor"/>
  </r>
  <r>
    <s v="L1773"/>
    <x v="2"/>
    <s v="Hot"/>
    <d v="2025-10-12T00:00:00"/>
    <d v="2025-10-17T00:00:00"/>
    <d v="2025-10-22T00:00:00"/>
    <d v="2025-10-26T00:00:00"/>
    <s v="No"/>
    <m/>
    <d v="2025-11-19T00:00:00"/>
    <n v="1"/>
    <n v="5"/>
    <n v="5"/>
    <n v="4"/>
    <s v="Detractor"/>
  </r>
  <r>
    <s v="L1774"/>
    <x v="3"/>
    <s v="Cold"/>
    <d v="2025-10-04T00:00:00"/>
    <m/>
    <m/>
    <m/>
    <s v="Yes"/>
    <s v="Changed Mind"/>
    <m/>
    <m/>
    <m/>
    <n v="0"/>
    <n v="0"/>
    <s v="Detractor"/>
  </r>
  <r>
    <s v="L1775"/>
    <x v="3"/>
    <s v="Hot"/>
    <d v="2025-10-22T00:00:00"/>
    <d v="2025-10-24T00:00:00"/>
    <d v="2025-10-29T00:00:00"/>
    <d v="2025-11-03T00:00:00"/>
    <s v="No"/>
    <m/>
    <d v="2025-11-29T00:00:00"/>
    <n v="10"/>
    <n v="2"/>
    <n v="5"/>
    <n v="5"/>
    <s v="Promoter"/>
  </r>
  <r>
    <s v="L1776"/>
    <x v="3"/>
    <s v="Warm"/>
    <d v="2025-10-08T00:00:00"/>
    <d v="2025-10-10T00:00:00"/>
    <d v="2025-10-14T00:00:00"/>
    <d v="2025-10-18T00:00:00"/>
    <s v="No"/>
    <m/>
    <d v="2025-11-16T00:00:00"/>
    <n v="1"/>
    <n v="2"/>
    <n v="4"/>
    <n v="4"/>
    <s v="Detractor"/>
  </r>
  <r>
    <s v="L1777"/>
    <x v="0"/>
    <s v="Cold"/>
    <d v="2025-10-16T00:00:00"/>
    <m/>
    <m/>
    <m/>
    <s v="Yes"/>
    <s v="Financing Issue"/>
    <m/>
    <m/>
    <m/>
    <n v="0"/>
    <n v="0"/>
    <s v="Detractor"/>
  </r>
  <r>
    <s v="L1778"/>
    <x v="1"/>
    <s v="Warm"/>
    <d v="2025-10-01T00:00:00"/>
    <d v="2025-10-05T00:00:00"/>
    <d v="2025-10-06T00:00:00"/>
    <d v="2025-10-09T00:00:00"/>
    <s v="No"/>
    <m/>
    <d v="2025-11-04T00:00:00"/>
    <n v="3"/>
    <n v="4"/>
    <n v="1"/>
    <n v="3"/>
    <s v="Detractor"/>
  </r>
  <r>
    <s v="L1779"/>
    <x v="0"/>
    <s v="Warm"/>
    <d v="2025-10-20T00:00:00"/>
    <d v="2025-10-25T00:00:00"/>
    <d v="2025-10-26T00:00:00"/>
    <d v="2025-10-28T00:00:00"/>
    <s v="No"/>
    <m/>
    <d v="2025-11-17T00:00:00"/>
    <n v="2"/>
    <n v="5"/>
    <n v="1"/>
    <n v="2"/>
    <s v="Detractor"/>
  </r>
  <r>
    <s v="L1780"/>
    <x v="1"/>
    <s v="Warm"/>
    <d v="2025-10-29T00:00:00"/>
    <d v="2025-10-30T00:00:00"/>
    <d v="2025-10-31T00:00:00"/>
    <d v="2025-11-03T00:00:00"/>
    <s v="No"/>
    <m/>
    <d v="2025-11-26T00:00:00"/>
    <n v="2"/>
    <n v="1"/>
    <n v="1"/>
    <n v="3"/>
    <s v="Detractor"/>
  </r>
  <r>
    <s v="L1781"/>
    <x v="2"/>
    <s v="Hot"/>
    <d v="2025-10-31T00:00:00"/>
    <d v="2025-11-01T00:00:00"/>
    <d v="2025-11-04T00:00:00"/>
    <d v="2025-11-07T00:00:00"/>
    <s v="No"/>
    <m/>
    <d v="2025-11-21T00:00:00"/>
    <n v="4"/>
    <n v="1"/>
    <n v="3"/>
    <n v="3"/>
    <s v="Detractor"/>
  </r>
  <r>
    <s v="L1782"/>
    <x v="2"/>
    <s v="Cold"/>
    <d v="2025-10-18T00:00:00"/>
    <m/>
    <m/>
    <m/>
    <s v="Yes"/>
    <s v="Other"/>
    <m/>
    <m/>
    <m/>
    <n v="0"/>
    <n v="0"/>
    <s v="Detractor"/>
  </r>
  <r>
    <s v="L1783"/>
    <x v="3"/>
    <s v="Warm"/>
    <d v="2025-10-11T00:00:00"/>
    <d v="2025-10-16T00:00:00"/>
    <d v="2025-10-21T00:00:00"/>
    <d v="2025-10-27T00:00:00"/>
    <s v="No"/>
    <m/>
    <d v="2025-11-16T00:00:00"/>
    <n v="9"/>
    <n v="5"/>
    <n v="5"/>
    <n v="6"/>
    <s v="Promoter"/>
  </r>
  <r>
    <s v="L1784"/>
    <x v="1"/>
    <s v="Cold"/>
    <d v="2025-10-30T00:00:00"/>
    <m/>
    <m/>
    <m/>
    <s v="Yes"/>
    <s v="Financing Issue"/>
    <m/>
    <m/>
    <m/>
    <n v="0"/>
    <n v="0"/>
    <s v="Detractor"/>
  </r>
  <r>
    <s v="L1785"/>
    <x v="2"/>
    <s v="Hot"/>
    <d v="2025-10-20T00:00:00"/>
    <d v="2025-10-22T00:00:00"/>
    <d v="2025-10-23T00:00:00"/>
    <d v="2025-10-25T00:00:00"/>
    <s v="No"/>
    <m/>
    <d v="2025-11-19T00:00:00"/>
    <n v="7"/>
    <n v="2"/>
    <n v="1"/>
    <n v="2"/>
    <s v="Passive"/>
  </r>
  <r>
    <s v="L1786"/>
    <x v="1"/>
    <s v="Cold"/>
    <d v="2025-10-08T00:00:00"/>
    <m/>
    <m/>
    <m/>
    <s v="Yes"/>
    <s v="Price"/>
    <m/>
    <m/>
    <m/>
    <n v="0"/>
    <n v="0"/>
    <s v="Detractor"/>
  </r>
  <r>
    <s v="L1787"/>
    <x v="2"/>
    <s v="Warm"/>
    <d v="2025-10-21T00:00:00"/>
    <d v="2025-10-24T00:00:00"/>
    <d v="2025-10-29T00:00:00"/>
    <d v="2025-11-01T00:00:00"/>
    <s v="No"/>
    <m/>
    <d v="2025-11-22T00:00:00"/>
    <n v="3"/>
    <n v="3"/>
    <n v="5"/>
    <n v="3"/>
    <s v="Detractor"/>
  </r>
  <r>
    <s v="L1788"/>
    <x v="0"/>
    <s v="Hot"/>
    <d v="2025-10-03T00:00:00"/>
    <d v="2025-10-05T00:00:00"/>
    <d v="2025-10-10T00:00:00"/>
    <d v="2025-10-12T00:00:00"/>
    <s v="No"/>
    <m/>
    <d v="2025-10-28T00:00:00"/>
    <n v="3"/>
    <n v="2"/>
    <n v="5"/>
    <n v="2"/>
    <s v="Detractor"/>
  </r>
  <r>
    <s v="L1789"/>
    <x v="2"/>
    <s v="Hot"/>
    <d v="2025-10-21T00:00:00"/>
    <d v="2025-10-23T00:00:00"/>
    <d v="2025-10-26T00:00:00"/>
    <d v="2025-10-29T00:00:00"/>
    <s v="No"/>
    <m/>
    <d v="2025-11-13T00:00:00"/>
    <n v="3"/>
    <n v="2"/>
    <n v="3"/>
    <n v="3"/>
    <s v="Detractor"/>
  </r>
  <r>
    <s v="L1790"/>
    <x v="0"/>
    <s v="Warm"/>
    <d v="2025-10-27T00:00:00"/>
    <d v="2025-10-30T00:00:00"/>
    <d v="2025-11-03T00:00:00"/>
    <d v="2025-11-08T00:00:00"/>
    <s v="No"/>
    <m/>
    <d v="2025-11-30T00:00:00"/>
    <n v="5"/>
    <n v="3"/>
    <n v="4"/>
    <n v="5"/>
    <s v="Detractor"/>
  </r>
  <r>
    <s v="L1791"/>
    <x v="2"/>
    <s v="Warm"/>
    <d v="2025-10-15T00:00:00"/>
    <d v="2025-10-17T00:00:00"/>
    <d v="2025-10-18T00:00:00"/>
    <d v="2025-10-23T00:00:00"/>
    <s v="No"/>
    <m/>
    <d v="2025-11-02T00:00:00"/>
    <n v="8"/>
    <n v="2"/>
    <n v="1"/>
    <n v="5"/>
    <s v="Passive"/>
  </r>
  <r>
    <s v="L1792"/>
    <x v="3"/>
    <s v="Cold"/>
    <d v="2025-10-30T00:00:00"/>
    <m/>
    <m/>
    <m/>
    <s v="Yes"/>
    <s v="Price"/>
    <m/>
    <m/>
    <m/>
    <n v="0"/>
    <n v="0"/>
    <s v="Detractor"/>
  </r>
  <r>
    <s v="L1793"/>
    <x v="0"/>
    <s v="Hot"/>
    <d v="2025-10-23T00:00:00"/>
    <d v="2025-10-26T00:00:00"/>
    <d v="2025-10-29T00:00:00"/>
    <d v="2025-11-02T00:00:00"/>
    <s v="No"/>
    <m/>
    <d v="2025-11-19T00:00:00"/>
    <n v="1"/>
    <n v="3"/>
    <n v="3"/>
    <n v="4"/>
    <s v="Detractor"/>
  </r>
  <r>
    <s v="L1794"/>
    <x v="2"/>
    <s v="Hot"/>
    <d v="2025-10-10T00:00:00"/>
    <d v="2025-10-15T00:00:00"/>
    <d v="2025-10-19T00:00:00"/>
    <d v="2025-10-24T00:00:00"/>
    <s v="No"/>
    <m/>
    <d v="2025-11-10T00:00:00"/>
    <n v="10"/>
    <n v="5"/>
    <n v="4"/>
    <n v="5"/>
    <s v="Promoter"/>
  </r>
  <r>
    <s v="L1795"/>
    <x v="3"/>
    <s v="Warm"/>
    <d v="2025-10-21T00:00:00"/>
    <d v="2025-10-24T00:00:00"/>
    <d v="2025-10-28T00:00:00"/>
    <d v="2025-10-30T00:00:00"/>
    <s v="No"/>
    <m/>
    <d v="2025-11-13T00:00:00"/>
    <n v="4"/>
    <n v="3"/>
    <n v="4"/>
    <n v="2"/>
    <s v="Detractor"/>
  </r>
  <r>
    <s v="L1796"/>
    <x v="0"/>
    <s v="Warm"/>
    <d v="2025-10-14T00:00:00"/>
    <d v="2025-10-15T00:00:00"/>
    <d v="2025-10-16T00:00:00"/>
    <d v="2025-10-22T00:00:00"/>
    <s v="No"/>
    <m/>
    <d v="2025-11-07T00:00:00"/>
    <n v="8"/>
    <n v="1"/>
    <n v="1"/>
    <n v="6"/>
    <s v="Passive"/>
  </r>
  <r>
    <s v="L1797"/>
    <x v="3"/>
    <s v="Warm"/>
    <d v="2025-10-04T00:00:00"/>
    <d v="2025-10-07T00:00:00"/>
    <d v="2025-10-12T00:00:00"/>
    <d v="2025-10-16T00:00:00"/>
    <s v="No"/>
    <m/>
    <d v="2025-10-26T00:00:00"/>
    <n v="7"/>
    <n v="3"/>
    <n v="5"/>
    <n v="4"/>
    <s v="Passive"/>
  </r>
  <r>
    <s v="L1798"/>
    <x v="1"/>
    <s v="Cold"/>
    <d v="2025-10-05T00:00:00"/>
    <m/>
    <m/>
    <m/>
    <s v="Yes"/>
    <s v="Price"/>
    <m/>
    <m/>
    <m/>
    <n v="0"/>
    <n v="0"/>
    <s v="Detractor"/>
  </r>
  <r>
    <s v="L1799"/>
    <x v="1"/>
    <s v="Cold"/>
    <d v="2025-10-02T00:00:00"/>
    <m/>
    <m/>
    <m/>
    <s v="Yes"/>
    <s v="Financing Issue"/>
    <m/>
    <m/>
    <m/>
    <n v="0"/>
    <n v="0"/>
    <s v="Detractor"/>
  </r>
  <r>
    <s v="L1800"/>
    <x v="0"/>
    <s v="Cold"/>
    <d v="2025-10-31T00:00:00"/>
    <m/>
    <m/>
    <m/>
    <s v="Yes"/>
    <s v="Other"/>
    <m/>
    <m/>
    <m/>
    <n v="0"/>
    <n v="0"/>
    <s v="Detractor"/>
  </r>
  <r>
    <s v="L1801"/>
    <x v="2"/>
    <s v="Warm"/>
    <d v="2025-10-02T00:00:00"/>
    <d v="2025-10-04T00:00:00"/>
    <d v="2025-10-06T00:00:00"/>
    <d v="2025-10-09T00:00:00"/>
    <s v="Yes"/>
    <s v="Price"/>
    <m/>
    <m/>
    <n v="2"/>
    <n v="2"/>
    <n v="3"/>
    <s v="Detractor"/>
  </r>
  <r>
    <s v="L1802"/>
    <x v="0"/>
    <s v="Warm"/>
    <d v="2025-10-10T00:00:00"/>
    <d v="2025-10-15T00:00:00"/>
    <d v="2025-10-20T00:00:00"/>
    <d v="2025-10-25T00:00:00"/>
    <s v="No"/>
    <m/>
    <d v="2025-11-22T00:00:00"/>
    <n v="10"/>
    <n v="5"/>
    <n v="5"/>
    <n v="5"/>
    <s v="Promoter"/>
  </r>
  <r>
    <s v="L1803"/>
    <x v="3"/>
    <s v="Warm"/>
    <d v="2025-10-16T00:00:00"/>
    <d v="2025-10-19T00:00:00"/>
    <d v="2025-10-24T00:00:00"/>
    <d v="2025-10-28T00:00:00"/>
    <s v="No"/>
    <m/>
    <d v="2025-11-23T00:00:00"/>
    <n v="1"/>
    <n v="3"/>
    <n v="5"/>
    <n v="4"/>
    <s v="Detractor"/>
  </r>
  <r>
    <s v="L1804"/>
    <x v="2"/>
    <s v="Warm"/>
    <d v="2025-10-04T00:00:00"/>
    <d v="2025-10-06T00:00:00"/>
    <d v="2025-10-08T00:00:00"/>
    <d v="2025-10-13T00:00:00"/>
    <s v="No"/>
    <m/>
    <d v="2025-10-28T00:00:00"/>
    <n v="9"/>
    <n v="2"/>
    <n v="2"/>
    <n v="5"/>
    <s v="Promoter"/>
  </r>
  <r>
    <s v="L1805"/>
    <x v="1"/>
    <s v="Cold"/>
    <d v="2025-10-04T00:00:00"/>
    <m/>
    <m/>
    <m/>
    <s v="Yes"/>
    <s v="Other"/>
    <m/>
    <m/>
    <m/>
    <n v="0"/>
    <n v="0"/>
    <s v="Detractor"/>
  </r>
  <r>
    <s v="L1806"/>
    <x v="2"/>
    <s v="Hot"/>
    <d v="2025-10-08T00:00:00"/>
    <d v="2025-10-11T00:00:00"/>
    <d v="2025-10-15T00:00:00"/>
    <d v="2025-10-19T00:00:00"/>
    <s v="No"/>
    <m/>
    <d v="2025-11-01T00:00:00"/>
    <n v="3"/>
    <n v="3"/>
    <n v="4"/>
    <n v="4"/>
    <s v="Detractor"/>
  </r>
  <r>
    <s v="L1807"/>
    <x v="1"/>
    <s v="Warm"/>
    <d v="2025-10-29T00:00:00"/>
    <d v="2025-11-03T00:00:00"/>
    <d v="2025-11-05T00:00:00"/>
    <d v="2025-11-07T00:00:00"/>
    <s v="No"/>
    <m/>
    <d v="2025-11-28T00:00:00"/>
    <n v="2"/>
    <n v="5"/>
    <n v="2"/>
    <n v="2"/>
    <s v="Detractor"/>
  </r>
  <r>
    <s v="L1808"/>
    <x v="2"/>
    <s v="Hot"/>
    <d v="2025-10-18T00:00:00"/>
    <d v="2025-10-23T00:00:00"/>
    <d v="2025-10-25T00:00:00"/>
    <d v="2025-10-27T00:00:00"/>
    <s v="No"/>
    <m/>
    <d v="2025-11-26T00:00:00"/>
    <n v="5"/>
    <n v="5"/>
    <n v="2"/>
    <n v="2"/>
    <s v="Detractor"/>
  </r>
  <r>
    <s v="L1809"/>
    <x v="2"/>
    <s v="Warm"/>
    <d v="2025-10-05T00:00:00"/>
    <d v="2025-10-06T00:00:00"/>
    <d v="2025-10-09T00:00:00"/>
    <d v="2025-10-12T00:00:00"/>
    <s v="No"/>
    <m/>
    <d v="2025-10-23T00:00:00"/>
    <n v="1"/>
    <n v="1"/>
    <n v="3"/>
    <n v="3"/>
    <s v="Detractor"/>
  </r>
  <r>
    <s v="L1810"/>
    <x v="2"/>
    <s v="Cold"/>
    <d v="2025-10-13T00:00:00"/>
    <m/>
    <m/>
    <m/>
    <s v="Yes"/>
    <s v="Financing Issue"/>
    <m/>
    <m/>
    <m/>
    <n v="0"/>
    <n v="0"/>
    <s v="Detractor"/>
  </r>
  <r>
    <s v="L1811"/>
    <x v="3"/>
    <s v="Warm"/>
    <d v="2025-10-15T00:00:00"/>
    <d v="2025-10-20T00:00:00"/>
    <d v="2025-10-23T00:00:00"/>
    <d v="2025-10-30T00:00:00"/>
    <s v="No"/>
    <m/>
    <d v="2025-11-21T00:00:00"/>
    <n v="7"/>
    <n v="5"/>
    <n v="3"/>
    <n v="7"/>
    <s v="Passive"/>
  </r>
  <r>
    <s v="L1812"/>
    <x v="3"/>
    <s v="Hot"/>
    <d v="2025-10-12T00:00:00"/>
    <d v="2025-10-14T00:00:00"/>
    <d v="2025-10-17T00:00:00"/>
    <d v="2025-10-21T00:00:00"/>
    <s v="No"/>
    <m/>
    <d v="2025-11-20T00:00:00"/>
    <n v="3"/>
    <n v="2"/>
    <n v="3"/>
    <n v="4"/>
    <s v="Detractor"/>
  </r>
  <r>
    <s v="L1813"/>
    <x v="0"/>
    <s v="Cold"/>
    <d v="2025-10-22T00:00:00"/>
    <m/>
    <m/>
    <m/>
    <s v="Yes"/>
    <s v="Other"/>
    <m/>
    <m/>
    <m/>
    <n v="0"/>
    <n v="0"/>
    <s v="Detractor"/>
  </r>
  <r>
    <s v="L1814"/>
    <x v="0"/>
    <s v="Warm"/>
    <d v="2025-10-31T00:00:00"/>
    <d v="2025-11-05T00:00:00"/>
    <d v="2025-11-09T00:00:00"/>
    <d v="2025-11-16T00:00:00"/>
    <s v="No"/>
    <m/>
    <d v="2025-12-04T00:00:00"/>
    <n v="2"/>
    <n v="5"/>
    <n v="4"/>
    <n v="7"/>
    <s v="Detractor"/>
  </r>
  <r>
    <s v="L1815"/>
    <x v="1"/>
    <s v="Hot"/>
    <d v="2025-10-24T00:00:00"/>
    <d v="2025-10-29T00:00:00"/>
    <d v="2025-10-31T00:00:00"/>
    <d v="2025-11-07T00:00:00"/>
    <s v="No"/>
    <m/>
    <d v="2025-12-04T00:00:00"/>
    <n v="5"/>
    <n v="5"/>
    <n v="2"/>
    <n v="7"/>
    <s v="Detractor"/>
  </r>
  <r>
    <s v="L1816"/>
    <x v="3"/>
    <s v="Hot"/>
    <d v="2025-10-23T00:00:00"/>
    <d v="2025-10-25T00:00:00"/>
    <d v="2025-10-26T00:00:00"/>
    <d v="2025-11-01T00:00:00"/>
    <s v="Yes"/>
    <s v="Financing Issue"/>
    <m/>
    <m/>
    <n v="2"/>
    <n v="1"/>
    <n v="6"/>
    <s v="Detractor"/>
  </r>
  <r>
    <s v="L1817"/>
    <x v="1"/>
    <s v="Hot"/>
    <d v="2025-10-31T00:00:00"/>
    <d v="2025-11-02T00:00:00"/>
    <d v="2025-11-04T00:00:00"/>
    <d v="2025-11-06T00:00:00"/>
    <s v="No"/>
    <m/>
    <d v="2025-12-05T00:00:00"/>
    <n v="8"/>
    <n v="2"/>
    <n v="2"/>
    <n v="2"/>
    <s v="Passive"/>
  </r>
  <r>
    <s v="L1818"/>
    <x v="0"/>
    <s v="Hot"/>
    <d v="2025-10-18T00:00:00"/>
    <d v="2025-10-23T00:00:00"/>
    <d v="2025-10-27T00:00:00"/>
    <d v="2025-10-30T00:00:00"/>
    <s v="No"/>
    <m/>
    <d v="2025-11-10T00:00:00"/>
    <n v="8"/>
    <n v="5"/>
    <n v="4"/>
    <n v="3"/>
    <s v="Passive"/>
  </r>
  <r>
    <s v="L1819"/>
    <x v="1"/>
    <s v="Cold"/>
    <d v="2025-10-14T00:00:00"/>
    <m/>
    <m/>
    <m/>
    <s v="Yes"/>
    <s v="Financing Issue"/>
    <m/>
    <m/>
    <m/>
    <n v="0"/>
    <n v="0"/>
    <s v="Detractor"/>
  </r>
  <r>
    <s v="L1820"/>
    <x v="0"/>
    <s v="Warm"/>
    <d v="2025-10-19T00:00:00"/>
    <d v="2025-10-24T00:00:00"/>
    <d v="2025-10-27T00:00:00"/>
    <d v="2025-10-31T00:00:00"/>
    <s v="No"/>
    <m/>
    <d v="2025-11-29T00:00:00"/>
    <n v="2"/>
    <n v="5"/>
    <n v="3"/>
    <n v="4"/>
    <s v="Detractor"/>
  </r>
  <r>
    <s v="L1821"/>
    <x v="3"/>
    <s v="Cold"/>
    <d v="2025-10-24T00:00:00"/>
    <m/>
    <m/>
    <m/>
    <s v="Yes"/>
    <s v="Changed Mind"/>
    <m/>
    <m/>
    <m/>
    <n v="0"/>
    <n v="0"/>
    <s v="Detractor"/>
  </r>
  <r>
    <s v="L1822"/>
    <x v="2"/>
    <s v="Warm"/>
    <d v="2025-10-24T00:00:00"/>
    <d v="2025-10-27T00:00:00"/>
    <d v="2025-10-31T00:00:00"/>
    <d v="2025-11-03T00:00:00"/>
    <s v="No"/>
    <m/>
    <d v="2025-11-14T00:00:00"/>
    <n v="3"/>
    <n v="3"/>
    <n v="4"/>
    <n v="3"/>
    <s v="Detractor"/>
  </r>
  <r>
    <s v="L1823"/>
    <x v="3"/>
    <s v="Hot"/>
    <d v="2025-10-05T00:00:00"/>
    <d v="2025-10-10T00:00:00"/>
    <d v="2025-10-13T00:00:00"/>
    <d v="2025-10-15T00:00:00"/>
    <s v="No"/>
    <m/>
    <d v="2025-10-28T00:00:00"/>
    <n v="4"/>
    <n v="5"/>
    <n v="3"/>
    <n v="2"/>
    <s v="Detractor"/>
  </r>
  <r>
    <s v="L1824"/>
    <x v="1"/>
    <s v="Warm"/>
    <d v="2025-10-29T00:00:00"/>
    <d v="2025-10-30T00:00:00"/>
    <d v="2025-11-03T00:00:00"/>
    <d v="2025-11-10T00:00:00"/>
    <s v="Yes"/>
    <s v="Financing Issue"/>
    <m/>
    <m/>
    <n v="1"/>
    <n v="4"/>
    <n v="7"/>
    <s v="Detractor"/>
  </r>
  <r>
    <s v="L1825"/>
    <x v="1"/>
    <s v="Hot"/>
    <d v="2025-10-14T00:00:00"/>
    <d v="2025-10-15T00:00:00"/>
    <d v="2025-10-16T00:00:00"/>
    <d v="2025-10-19T00:00:00"/>
    <s v="No"/>
    <m/>
    <d v="2025-11-18T00:00:00"/>
    <n v="3"/>
    <n v="1"/>
    <n v="1"/>
    <n v="3"/>
    <s v="Detractor"/>
  </r>
  <r>
    <s v="L1826"/>
    <x v="3"/>
    <s v="Warm"/>
    <d v="2025-10-21T00:00:00"/>
    <d v="2025-10-22T00:00:00"/>
    <d v="2025-10-25T00:00:00"/>
    <d v="2025-10-29T00:00:00"/>
    <s v="No"/>
    <m/>
    <d v="2025-11-08T00:00:00"/>
    <n v="6"/>
    <n v="1"/>
    <n v="3"/>
    <n v="4"/>
    <s v="Detractor"/>
  </r>
  <r>
    <s v="L1827"/>
    <x v="3"/>
    <s v="Cold"/>
    <d v="2025-10-04T00:00:00"/>
    <m/>
    <m/>
    <m/>
    <s v="Yes"/>
    <s v="Financing Issue"/>
    <m/>
    <m/>
    <m/>
    <n v="0"/>
    <n v="0"/>
    <s v="Detractor"/>
  </r>
  <r>
    <s v="L1828"/>
    <x v="0"/>
    <s v="Warm"/>
    <d v="2025-10-27T00:00:00"/>
    <d v="2025-10-28T00:00:00"/>
    <d v="2025-10-31T00:00:00"/>
    <d v="2025-11-05T00:00:00"/>
    <s v="No"/>
    <m/>
    <d v="2025-11-16T00:00:00"/>
    <n v="2"/>
    <n v="1"/>
    <n v="3"/>
    <n v="5"/>
    <s v="Detractor"/>
  </r>
  <r>
    <s v="L1829"/>
    <x v="1"/>
    <s v="Warm"/>
    <d v="2025-10-16T00:00:00"/>
    <d v="2025-10-21T00:00:00"/>
    <d v="2025-10-23T00:00:00"/>
    <d v="2025-10-29T00:00:00"/>
    <s v="Yes"/>
    <s v="Model Unavailable"/>
    <m/>
    <m/>
    <n v="5"/>
    <n v="2"/>
    <n v="6"/>
    <s v="Detractor"/>
  </r>
  <r>
    <s v="L1830"/>
    <x v="1"/>
    <s v="Hot"/>
    <d v="2025-10-20T00:00:00"/>
    <d v="2025-10-23T00:00:00"/>
    <d v="2025-10-27T00:00:00"/>
    <d v="2025-10-29T00:00:00"/>
    <s v="Yes"/>
    <s v="Price"/>
    <m/>
    <m/>
    <n v="3"/>
    <n v="4"/>
    <n v="2"/>
    <s v="Detractor"/>
  </r>
  <r>
    <s v="L1831"/>
    <x v="3"/>
    <s v="Hot"/>
    <d v="2025-10-14T00:00:00"/>
    <d v="2025-10-16T00:00:00"/>
    <d v="2025-10-21T00:00:00"/>
    <d v="2025-10-28T00:00:00"/>
    <s v="No"/>
    <m/>
    <d v="2025-11-10T00:00:00"/>
    <n v="9"/>
    <n v="2"/>
    <n v="5"/>
    <n v="7"/>
    <s v="Promoter"/>
  </r>
  <r>
    <s v="L1832"/>
    <x v="2"/>
    <s v="Hot"/>
    <d v="2025-10-31T00:00:00"/>
    <d v="2025-11-05T00:00:00"/>
    <d v="2025-11-10T00:00:00"/>
    <d v="2025-11-14T00:00:00"/>
    <s v="No"/>
    <m/>
    <d v="2025-12-07T00:00:00"/>
    <n v="9"/>
    <n v="5"/>
    <n v="5"/>
    <n v="4"/>
    <s v="Promoter"/>
  </r>
  <r>
    <s v="L1833"/>
    <x v="1"/>
    <s v="Warm"/>
    <d v="2025-10-31T00:00:00"/>
    <d v="2025-11-04T00:00:00"/>
    <d v="2025-11-06T00:00:00"/>
    <d v="2025-11-10T00:00:00"/>
    <s v="No"/>
    <m/>
    <d v="2025-12-04T00:00:00"/>
    <n v="6"/>
    <n v="4"/>
    <n v="2"/>
    <n v="4"/>
    <s v="Detractor"/>
  </r>
  <r>
    <s v="L1834"/>
    <x v="2"/>
    <s v="Hot"/>
    <d v="2025-10-09T00:00:00"/>
    <d v="2025-10-14T00:00:00"/>
    <d v="2025-10-18T00:00:00"/>
    <d v="2025-10-21T00:00:00"/>
    <s v="No"/>
    <m/>
    <d v="2025-11-12T00:00:00"/>
    <n v="8"/>
    <n v="5"/>
    <n v="4"/>
    <n v="3"/>
    <s v="Passive"/>
  </r>
  <r>
    <s v="L1835"/>
    <x v="3"/>
    <s v="Warm"/>
    <d v="2025-10-02T00:00:00"/>
    <d v="2025-10-03T00:00:00"/>
    <d v="2025-10-04T00:00:00"/>
    <d v="2025-10-06T00:00:00"/>
    <s v="Yes"/>
    <s v="Changed Mind"/>
    <m/>
    <m/>
    <n v="1"/>
    <n v="1"/>
    <n v="2"/>
    <s v="Detractor"/>
  </r>
  <r>
    <s v="L1836"/>
    <x v="3"/>
    <s v="Warm"/>
    <d v="2025-10-23T00:00:00"/>
    <d v="2025-10-27T00:00:00"/>
    <d v="2025-10-29T00:00:00"/>
    <d v="2025-11-03T00:00:00"/>
    <s v="No"/>
    <m/>
    <d v="2025-11-16T00:00:00"/>
    <n v="2"/>
    <n v="4"/>
    <n v="2"/>
    <n v="5"/>
    <s v="Detractor"/>
  </r>
  <r>
    <s v="L1837"/>
    <x v="0"/>
    <s v="Warm"/>
    <d v="2025-10-12T00:00:00"/>
    <d v="2025-10-17T00:00:00"/>
    <d v="2025-10-20T00:00:00"/>
    <d v="2025-10-25T00:00:00"/>
    <s v="No"/>
    <m/>
    <d v="2025-11-21T00:00:00"/>
    <n v="6"/>
    <n v="5"/>
    <n v="3"/>
    <n v="5"/>
    <s v="Detractor"/>
  </r>
  <r>
    <s v="L1838"/>
    <x v="1"/>
    <s v="Hot"/>
    <d v="2025-10-07T00:00:00"/>
    <d v="2025-10-10T00:00:00"/>
    <d v="2025-10-11T00:00:00"/>
    <d v="2025-10-17T00:00:00"/>
    <s v="No"/>
    <m/>
    <d v="2025-11-04T00:00:00"/>
    <n v="6"/>
    <n v="3"/>
    <n v="1"/>
    <n v="6"/>
    <s v="Detractor"/>
  </r>
  <r>
    <s v="L1839"/>
    <x v="2"/>
    <s v="Hot"/>
    <d v="2025-10-15T00:00:00"/>
    <d v="2025-10-18T00:00:00"/>
    <d v="2025-10-22T00:00:00"/>
    <d v="2025-10-29T00:00:00"/>
    <s v="No"/>
    <m/>
    <d v="2025-11-23T00:00:00"/>
    <n v="9"/>
    <n v="3"/>
    <n v="4"/>
    <n v="7"/>
    <s v="Promoter"/>
  </r>
  <r>
    <s v="L1840"/>
    <x v="0"/>
    <s v="Cold"/>
    <d v="2025-10-15T00:00:00"/>
    <m/>
    <m/>
    <m/>
    <s v="Yes"/>
    <s v="Changed Mind"/>
    <m/>
    <m/>
    <m/>
    <n v="0"/>
    <n v="0"/>
    <s v="Detractor"/>
  </r>
  <r>
    <s v="L1841"/>
    <x v="1"/>
    <s v="Warm"/>
    <d v="2025-10-31T00:00:00"/>
    <d v="2025-11-04T00:00:00"/>
    <d v="2025-11-07T00:00:00"/>
    <d v="2025-11-13T00:00:00"/>
    <s v="No"/>
    <m/>
    <d v="2025-11-27T00:00:00"/>
    <n v="9"/>
    <n v="4"/>
    <n v="3"/>
    <n v="6"/>
    <s v="Promoter"/>
  </r>
  <r>
    <s v="L1842"/>
    <x v="0"/>
    <s v="Warm"/>
    <d v="2025-10-08T00:00:00"/>
    <d v="2025-10-10T00:00:00"/>
    <d v="2025-10-15T00:00:00"/>
    <d v="2025-10-18T00:00:00"/>
    <s v="No"/>
    <m/>
    <d v="2025-11-03T00:00:00"/>
    <n v="0"/>
    <n v="2"/>
    <n v="5"/>
    <n v="3"/>
    <s v="Detractor"/>
  </r>
  <r>
    <s v="L1843"/>
    <x v="3"/>
    <s v="Hot"/>
    <d v="2025-10-28T00:00:00"/>
    <d v="2025-11-01T00:00:00"/>
    <d v="2025-11-05T00:00:00"/>
    <d v="2025-11-07T00:00:00"/>
    <s v="Yes"/>
    <s v="Changed Mind"/>
    <m/>
    <m/>
    <n v="4"/>
    <n v="4"/>
    <n v="2"/>
    <s v="Detractor"/>
  </r>
  <r>
    <s v="L1844"/>
    <x v="1"/>
    <s v="Cold"/>
    <d v="2025-10-12T00:00:00"/>
    <m/>
    <m/>
    <m/>
    <s v="Yes"/>
    <s v="Model Unavailable"/>
    <m/>
    <m/>
    <m/>
    <n v="0"/>
    <n v="0"/>
    <s v="Detractor"/>
  </r>
  <r>
    <s v="L1845"/>
    <x v="0"/>
    <s v="Warm"/>
    <d v="2025-10-04T00:00:00"/>
    <d v="2025-10-07T00:00:00"/>
    <d v="2025-10-10T00:00:00"/>
    <d v="2025-10-15T00:00:00"/>
    <s v="No"/>
    <m/>
    <d v="2025-11-14T00:00:00"/>
    <n v="7"/>
    <n v="3"/>
    <n v="3"/>
    <n v="5"/>
    <s v="Passive"/>
  </r>
  <r>
    <s v="L1846"/>
    <x v="0"/>
    <s v="Warm"/>
    <d v="2025-10-22T00:00:00"/>
    <d v="2025-10-26T00:00:00"/>
    <d v="2025-10-30T00:00:00"/>
    <d v="2025-11-01T00:00:00"/>
    <s v="No"/>
    <m/>
    <d v="2025-11-11T00:00:00"/>
    <n v="3"/>
    <n v="4"/>
    <n v="4"/>
    <n v="2"/>
    <s v="Detractor"/>
  </r>
  <r>
    <s v="L1847"/>
    <x v="2"/>
    <s v="Cold"/>
    <d v="2025-10-12T00:00:00"/>
    <m/>
    <m/>
    <m/>
    <s v="Yes"/>
    <s v="Financing Issue"/>
    <m/>
    <m/>
    <m/>
    <n v="0"/>
    <n v="0"/>
    <s v="Detractor"/>
  </r>
  <r>
    <s v="L1848"/>
    <x v="0"/>
    <s v="Hot"/>
    <d v="2025-10-18T00:00:00"/>
    <d v="2025-10-19T00:00:00"/>
    <d v="2025-10-22T00:00:00"/>
    <d v="2025-10-25T00:00:00"/>
    <s v="No"/>
    <m/>
    <d v="2025-11-13T00:00:00"/>
    <n v="5"/>
    <n v="1"/>
    <n v="3"/>
    <n v="3"/>
    <s v="Detractor"/>
  </r>
  <r>
    <s v="L1849"/>
    <x v="1"/>
    <s v="Warm"/>
    <d v="2025-10-29T00:00:00"/>
    <d v="2025-10-30T00:00:00"/>
    <d v="2025-11-03T00:00:00"/>
    <d v="2025-11-05T00:00:00"/>
    <s v="No"/>
    <m/>
    <d v="2025-11-28T00:00:00"/>
    <n v="6"/>
    <n v="1"/>
    <n v="4"/>
    <n v="2"/>
    <s v="Detractor"/>
  </r>
  <r>
    <s v="L1850"/>
    <x v="1"/>
    <s v="Warm"/>
    <d v="2025-10-21T00:00:00"/>
    <d v="2025-10-23T00:00:00"/>
    <d v="2025-10-28T00:00:00"/>
    <d v="2025-10-30T00:00:00"/>
    <s v="No"/>
    <m/>
    <d v="2025-11-12T00:00:00"/>
    <n v="4"/>
    <n v="2"/>
    <n v="5"/>
    <n v="2"/>
    <s v="Detractor"/>
  </r>
  <r>
    <s v="L1851"/>
    <x v="2"/>
    <s v="Hot"/>
    <d v="2025-10-12T00:00:00"/>
    <d v="2025-10-16T00:00:00"/>
    <d v="2025-10-18T00:00:00"/>
    <d v="2025-10-20T00:00:00"/>
    <s v="No"/>
    <m/>
    <d v="2025-11-15T00:00:00"/>
    <n v="9"/>
    <n v="4"/>
    <n v="2"/>
    <n v="2"/>
    <s v="Promoter"/>
  </r>
  <r>
    <s v="L1852"/>
    <x v="1"/>
    <s v="Cold"/>
    <d v="2025-10-02T00:00:00"/>
    <m/>
    <m/>
    <m/>
    <s v="Yes"/>
    <s v="Price"/>
    <m/>
    <m/>
    <m/>
    <n v="0"/>
    <n v="0"/>
    <s v="Detractor"/>
  </r>
  <r>
    <s v="L1853"/>
    <x v="3"/>
    <s v="Warm"/>
    <d v="2025-10-13T00:00:00"/>
    <d v="2025-10-17T00:00:00"/>
    <d v="2025-10-20T00:00:00"/>
    <d v="2025-10-23T00:00:00"/>
    <s v="Yes"/>
    <s v="Other"/>
    <m/>
    <m/>
    <n v="4"/>
    <n v="3"/>
    <n v="3"/>
    <s v="Detractor"/>
  </r>
  <r>
    <s v="L1854"/>
    <x v="1"/>
    <s v="Warm"/>
    <d v="2025-10-09T00:00:00"/>
    <d v="2025-10-13T00:00:00"/>
    <d v="2025-10-16T00:00:00"/>
    <d v="2025-10-19T00:00:00"/>
    <s v="No"/>
    <m/>
    <d v="2025-11-06T00:00:00"/>
    <n v="2"/>
    <n v="4"/>
    <n v="3"/>
    <n v="3"/>
    <s v="Detractor"/>
  </r>
  <r>
    <s v="L1855"/>
    <x v="1"/>
    <s v="Hot"/>
    <d v="2025-10-07T00:00:00"/>
    <d v="2025-10-11T00:00:00"/>
    <d v="2025-10-16T00:00:00"/>
    <d v="2025-10-19T00:00:00"/>
    <s v="No"/>
    <m/>
    <d v="2025-11-17T00:00:00"/>
    <n v="7"/>
    <n v="4"/>
    <n v="5"/>
    <n v="3"/>
    <s v="Passive"/>
  </r>
  <r>
    <s v="L1856"/>
    <x v="0"/>
    <s v="Hot"/>
    <d v="2025-10-31T00:00:00"/>
    <d v="2025-11-02T00:00:00"/>
    <d v="2025-11-04T00:00:00"/>
    <d v="2025-11-09T00:00:00"/>
    <s v="No"/>
    <m/>
    <d v="2025-12-08T00:00:00"/>
    <n v="1"/>
    <n v="2"/>
    <n v="2"/>
    <n v="5"/>
    <s v="Detractor"/>
  </r>
  <r>
    <s v="L1857"/>
    <x v="0"/>
    <s v="Warm"/>
    <d v="2025-10-04T00:00:00"/>
    <d v="2025-10-07T00:00:00"/>
    <d v="2025-10-11T00:00:00"/>
    <d v="2025-10-15T00:00:00"/>
    <s v="No"/>
    <m/>
    <d v="2025-10-29T00:00:00"/>
    <n v="3"/>
    <n v="3"/>
    <n v="4"/>
    <n v="4"/>
    <s v="Detractor"/>
  </r>
  <r>
    <s v="L1858"/>
    <x v="1"/>
    <s v="Warm"/>
    <d v="2025-10-31T00:00:00"/>
    <d v="2025-11-05T00:00:00"/>
    <d v="2025-11-08T00:00:00"/>
    <d v="2025-11-15T00:00:00"/>
    <s v="No"/>
    <m/>
    <d v="2025-12-08T00:00:00"/>
    <n v="7"/>
    <n v="5"/>
    <n v="3"/>
    <n v="7"/>
    <s v="Passive"/>
  </r>
  <r>
    <s v="L1859"/>
    <x v="2"/>
    <s v="Hot"/>
    <d v="2025-10-28T00:00:00"/>
    <d v="2025-10-30T00:00:00"/>
    <d v="2025-11-01T00:00:00"/>
    <d v="2025-11-08T00:00:00"/>
    <s v="No"/>
    <m/>
    <d v="2025-11-21T00:00:00"/>
    <n v="4"/>
    <n v="2"/>
    <n v="2"/>
    <n v="7"/>
    <s v="Detractor"/>
  </r>
  <r>
    <s v="L1860"/>
    <x v="0"/>
    <s v="Warm"/>
    <d v="2025-10-27T00:00:00"/>
    <d v="2025-10-30T00:00:00"/>
    <d v="2025-11-03T00:00:00"/>
    <d v="2025-11-10T00:00:00"/>
    <s v="No"/>
    <m/>
    <d v="2025-12-06T00:00:00"/>
    <n v="2"/>
    <n v="3"/>
    <n v="4"/>
    <n v="7"/>
    <s v="Detractor"/>
  </r>
  <r>
    <s v="L1861"/>
    <x v="2"/>
    <s v="Warm"/>
    <d v="2025-10-15T00:00:00"/>
    <d v="2025-10-18T00:00:00"/>
    <d v="2025-10-21T00:00:00"/>
    <d v="2025-10-23T00:00:00"/>
    <s v="No"/>
    <m/>
    <d v="2025-11-21T00:00:00"/>
    <n v="5"/>
    <n v="3"/>
    <n v="3"/>
    <n v="2"/>
    <s v="Detractor"/>
  </r>
  <r>
    <s v="L1862"/>
    <x v="1"/>
    <s v="Hot"/>
    <d v="2025-10-03T00:00:00"/>
    <d v="2025-10-06T00:00:00"/>
    <d v="2025-10-09T00:00:00"/>
    <d v="2025-10-15T00:00:00"/>
    <s v="Yes"/>
    <s v="Financing Issue"/>
    <m/>
    <m/>
    <n v="3"/>
    <n v="3"/>
    <n v="6"/>
    <s v="Detractor"/>
  </r>
  <r>
    <s v="L1863"/>
    <x v="1"/>
    <s v="Warm"/>
    <d v="2025-10-22T00:00:00"/>
    <d v="2025-10-26T00:00:00"/>
    <d v="2025-10-30T00:00:00"/>
    <d v="2025-11-05T00:00:00"/>
    <s v="No"/>
    <m/>
    <d v="2025-11-18T00:00:00"/>
    <n v="9"/>
    <n v="4"/>
    <n v="4"/>
    <n v="6"/>
    <s v="Promoter"/>
  </r>
  <r>
    <s v="L1864"/>
    <x v="3"/>
    <s v="Hot"/>
    <d v="2025-10-07T00:00:00"/>
    <d v="2025-10-09T00:00:00"/>
    <d v="2025-10-14T00:00:00"/>
    <d v="2025-10-18T00:00:00"/>
    <s v="No"/>
    <m/>
    <d v="2025-11-06T00:00:00"/>
    <n v="4"/>
    <n v="2"/>
    <n v="5"/>
    <n v="4"/>
    <s v="Detractor"/>
  </r>
  <r>
    <s v="L1865"/>
    <x v="0"/>
    <s v="Cold"/>
    <d v="2025-10-21T00:00:00"/>
    <m/>
    <m/>
    <m/>
    <s v="Yes"/>
    <s v="Model Unavailable"/>
    <m/>
    <m/>
    <m/>
    <n v="0"/>
    <n v="0"/>
    <s v="Detractor"/>
  </r>
  <r>
    <s v="L1866"/>
    <x v="1"/>
    <s v="Warm"/>
    <d v="2025-10-21T00:00:00"/>
    <d v="2025-10-24T00:00:00"/>
    <d v="2025-10-26T00:00:00"/>
    <d v="2025-10-28T00:00:00"/>
    <s v="No"/>
    <m/>
    <d v="2025-11-10T00:00:00"/>
    <n v="9"/>
    <n v="3"/>
    <n v="2"/>
    <n v="2"/>
    <s v="Promoter"/>
  </r>
  <r>
    <s v="L1867"/>
    <x v="3"/>
    <s v="Hot"/>
    <d v="2025-10-20T00:00:00"/>
    <d v="2025-10-25T00:00:00"/>
    <d v="2025-10-28T00:00:00"/>
    <d v="2025-10-30T00:00:00"/>
    <s v="No"/>
    <m/>
    <d v="2025-11-12T00:00:00"/>
    <n v="9"/>
    <n v="5"/>
    <n v="3"/>
    <n v="2"/>
    <s v="Promoter"/>
  </r>
  <r>
    <s v="L1868"/>
    <x v="0"/>
    <s v="Warm"/>
    <d v="2025-10-01T00:00:00"/>
    <d v="2025-10-06T00:00:00"/>
    <d v="2025-10-10T00:00:00"/>
    <d v="2025-10-12T00:00:00"/>
    <s v="No"/>
    <m/>
    <d v="2025-11-06T00:00:00"/>
    <n v="5"/>
    <n v="5"/>
    <n v="4"/>
    <n v="2"/>
    <s v="Detractor"/>
  </r>
  <r>
    <s v="L1869"/>
    <x v="1"/>
    <s v="Warm"/>
    <d v="2025-10-02T00:00:00"/>
    <d v="2025-10-03T00:00:00"/>
    <d v="2025-10-06T00:00:00"/>
    <d v="2025-10-09T00:00:00"/>
    <s v="No"/>
    <m/>
    <d v="2025-10-25T00:00:00"/>
    <n v="1"/>
    <n v="1"/>
    <n v="3"/>
    <n v="3"/>
    <s v="Detractor"/>
  </r>
  <r>
    <s v="L1870"/>
    <x v="1"/>
    <s v="Warm"/>
    <d v="2025-10-26T00:00:00"/>
    <d v="2025-10-29T00:00:00"/>
    <d v="2025-11-02T00:00:00"/>
    <d v="2025-11-09T00:00:00"/>
    <s v="No"/>
    <m/>
    <d v="2025-12-08T00:00:00"/>
    <n v="8"/>
    <n v="3"/>
    <n v="4"/>
    <n v="7"/>
    <s v="Passive"/>
  </r>
  <r>
    <s v="L1871"/>
    <x v="0"/>
    <s v="Warm"/>
    <d v="2025-10-11T00:00:00"/>
    <d v="2025-10-13T00:00:00"/>
    <d v="2025-10-16T00:00:00"/>
    <d v="2025-10-21T00:00:00"/>
    <s v="No"/>
    <m/>
    <d v="2025-11-06T00:00:00"/>
    <n v="7"/>
    <n v="2"/>
    <n v="3"/>
    <n v="5"/>
    <s v="Passive"/>
  </r>
  <r>
    <s v="L1872"/>
    <x v="0"/>
    <s v="Warm"/>
    <d v="2025-10-08T00:00:00"/>
    <d v="2025-10-12T00:00:00"/>
    <d v="2025-10-13T00:00:00"/>
    <d v="2025-10-16T00:00:00"/>
    <s v="No"/>
    <m/>
    <d v="2025-11-03T00:00:00"/>
    <n v="5"/>
    <n v="4"/>
    <n v="1"/>
    <n v="3"/>
    <s v="Detractor"/>
  </r>
  <r>
    <s v="L1873"/>
    <x v="0"/>
    <s v="Hot"/>
    <d v="2025-10-05T00:00:00"/>
    <d v="2025-10-06T00:00:00"/>
    <d v="2025-10-11T00:00:00"/>
    <d v="2025-10-13T00:00:00"/>
    <s v="No"/>
    <m/>
    <d v="2025-11-08T00:00:00"/>
    <n v="4"/>
    <n v="1"/>
    <n v="5"/>
    <n v="2"/>
    <s v="Detractor"/>
  </r>
  <r>
    <s v="L1874"/>
    <x v="1"/>
    <s v="Hot"/>
    <d v="2025-10-26T00:00:00"/>
    <d v="2025-10-29T00:00:00"/>
    <d v="2025-10-31T00:00:00"/>
    <d v="2025-11-04T00:00:00"/>
    <s v="No"/>
    <m/>
    <d v="2025-11-20T00:00:00"/>
    <n v="3"/>
    <n v="3"/>
    <n v="2"/>
    <n v="4"/>
    <s v="Detractor"/>
  </r>
  <r>
    <s v="L1875"/>
    <x v="1"/>
    <s v="Hot"/>
    <d v="2025-10-19T00:00:00"/>
    <d v="2025-10-23T00:00:00"/>
    <d v="2025-10-28T00:00:00"/>
    <d v="2025-10-30T00:00:00"/>
    <s v="No"/>
    <m/>
    <d v="2025-11-20T00:00:00"/>
    <n v="6"/>
    <n v="4"/>
    <n v="5"/>
    <n v="2"/>
    <s v="Detractor"/>
  </r>
  <r>
    <s v="L1876"/>
    <x v="3"/>
    <s v="Warm"/>
    <d v="2025-10-07T00:00:00"/>
    <d v="2025-10-09T00:00:00"/>
    <d v="2025-10-14T00:00:00"/>
    <d v="2025-10-16T00:00:00"/>
    <s v="No"/>
    <m/>
    <d v="2025-11-08T00:00:00"/>
    <n v="2"/>
    <n v="2"/>
    <n v="5"/>
    <n v="2"/>
    <s v="Detractor"/>
  </r>
  <r>
    <s v="L1877"/>
    <x v="2"/>
    <s v="Cold"/>
    <d v="2025-10-03T00:00:00"/>
    <m/>
    <m/>
    <m/>
    <s v="Yes"/>
    <s v="Financing Issue"/>
    <m/>
    <m/>
    <m/>
    <n v="0"/>
    <n v="0"/>
    <s v="Detractor"/>
  </r>
  <r>
    <s v="L1878"/>
    <x v="0"/>
    <s v="Warm"/>
    <d v="2025-10-27T00:00:00"/>
    <d v="2025-10-29T00:00:00"/>
    <d v="2025-10-31T00:00:00"/>
    <d v="2025-11-05T00:00:00"/>
    <s v="No"/>
    <m/>
    <d v="2025-11-24T00:00:00"/>
    <n v="4"/>
    <n v="2"/>
    <n v="2"/>
    <n v="5"/>
    <s v="Detractor"/>
  </r>
  <r>
    <s v="L1879"/>
    <x v="1"/>
    <s v="Hot"/>
    <d v="2025-10-25T00:00:00"/>
    <d v="2025-10-26T00:00:00"/>
    <d v="2025-10-31T00:00:00"/>
    <d v="2025-11-02T00:00:00"/>
    <s v="No"/>
    <m/>
    <d v="2025-11-17T00:00:00"/>
    <n v="4"/>
    <n v="1"/>
    <n v="5"/>
    <n v="2"/>
    <s v="Detractor"/>
  </r>
  <r>
    <s v="L1880"/>
    <x v="1"/>
    <s v="Warm"/>
    <d v="2025-10-18T00:00:00"/>
    <d v="2025-10-19T00:00:00"/>
    <d v="2025-10-20T00:00:00"/>
    <d v="2025-10-23T00:00:00"/>
    <s v="No"/>
    <m/>
    <d v="2025-11-03T00:00:00"/>
    <n v="2"/>
    <n v="1"/>
    <n v="1"/>
    <n v="3"/>
    <s v="Detractor"/>
  </r>
  <r>
    <s v="L1881"/>
    <x v="0"/>
    <s v="Cold"/>
    <d v="2025-10-07T00:00:00"/>
    <m/>
    <m/>
    <m/>
    <s v="Yes"/>
    <s v="Financing Issue"/>
    <m/>
    <m/>
    <m/>
    <n v="0"/>
    <n v="0"/>
    <s v="Detractor"/>
  </r>
  <r>
    <s v="L1882"/>
    <x v="2"/>
    <s v="Warm"/>
    <d v="2025-10-19T00:00:00"/>
    <d v="2025-10-22T00:00:00"/>
    <d v="2025-10-26T00:00:00"/>
    <d v="2025-11-01T00:00:00"/>
    <s v="No"/>
    <m/>
    <d v="2025-11-28T00:00:00"/>
    <n v="4"/>
    <n v="3"/>
    <n v="4"/>
    <n v="6"/>
    <s v="Detractor"/>
  </r>
  <r>
    <s v="L1883"/>
    <x v="0"/>
    <s v="Cold"/>
    <d v="2025-10-07T00:00:00"/>
    <m/>
    <m/>
    <m/>
    <s v="Yes"/>
    <s v="Model Unavailable"/>
    <m/>
    <m/>
    <m/>
    <n v="0"/>
    <n v="0"/>
    <s v="Detractor"/>
  </r>
  <r>
    <s v="L1884"/>
    <x v="2"/>
    <s v="Hot"/>
    <d v="2025-10-27T00:00:00"/>
    <d v="2025-10-31T00:00:00"/>
    <d v="2025-11-02T00:00:00"/>
    <d v="2025-11-07T00:00:00"/>
    <s v="No"/>
    <m/>
    <d v="2025-12-02T00:00:00"/>
    <n v="7"/>
    <n v="4"/>
    <n v="2"/>
    <n v="5"/>
    <s v="Passive"/>
  </r>
  <r>
    <s v="L1885"/>
    <x v="1"/>
    <s v="Hot"/>
    <d v="2025-10-28T00:00:00"/>
    <d v="2025-11-02T00:00:00"/>
    <d v="2025-11-06T00:00:00"/>
    <d v="2025-11-13T00:00:00"/>
    <s v="No"/>
    <m/>
    <d v="2025-11-29T00:00:00"/>
    <n v="3"/>
    <n v="5"/>
    <n v="4"/>
    <n v="7"/>
    <s v="Detractor"/>
  </r>
  <r>
    <s v="L1886"/>
    <x v="2"/>
    <s v="Cold"/>
    <d v="2025-10-08T00:00:00"/>
    <m/>
    <m/>
    <m/>
    <s v="Yes"/>
    <s v="Changed Mind"/>
    <m/>
    <m/>
    <m/>
    <n v="0"/>
    <n v="0"/>
    <s v="Detractor"/>
  </r>
  <r>
    <s v="L1887"/>
    <x v="3"/>
    <s v="Warm"/>
    <d v="2025-10-11T00:00:00"/>
    <d v="2025-10-15T00:00:00"/>
    <d v="2025-10-18T00:00:00"/>
    <d v="2025-10-23T00:00:00"/>
    <s v="No"/>
    <m/>
    <d v="2025-11-17T00:00:00"/>
    <n v="7"/>
    <n v="4"/>
    <n v="3"/>
    <n v="5"/>
    <s v="Passive"/>
  </r>
  <r>
    <s v="L1888"/>
    <x v="1"/>
    <s v="Warm"/>
    <d v="2025-10-25T00:00:00"/>
    <d v="2025-10-27T00:00:00"/>
    <d v="2025-10-28T00:00:00"/>
    <d v="2025-11-02T00:00:00"/>
    <s v="No"/>
    <m/>
    <d v="2025-11-22T00:00:00"/>
    <n v="9"/>
    <n v="2"/>
    <n v="1"/>
    <n v="5"/>
    <s v="Promoter"/>
  </r>
  <r>
    <s v="L1889"/>
    <x v="3"/>
    <s v="Warm"/>
    <d v="2025-10-05T00:00:00"/>
    <d v="2025-10-07T00:00:00"/>
    <d v="2025-10-11T00:00:00"/>
    <d v="2025-10-13T00:00:00"/>
    <s v="No"/>
    <m/>
    <d v="2025-10-30T00:00:00"/>
    <n v="4"/>
    <n v="2"/>
    <n v="4"/>
    <n v="2"/>
    <s v="Detractor"/>
  </r>
  <r>
    <s v="L1890"/>
    <x v="0"/>
    <s v="Cold"/>
    <d v="2025-10-26T00:00:00"/>
    <m/>
    <m/>
    <m/>
    <s v="Yes"/>
    <s v="Changed Mind"/>
    <m/>
    <m/>
    <m/>
    <n v="0"/>
    <n v="0"/>
    <s v="Detractor"/>
  </r>
  <r>
    <s v="L1891"/>
    <x v="0"/>
    <s v="Warm"/>
    <d v="2025-10-29T00:00:00"/>
    <d v="2025-11-01T00:00:00"/>
    <d v="2025-11-05T00:00:00"/>
    <d v="2025-11-10T00:00:00"/>
    <s v="No"/>
    <m/>
    <d v="2025-11-20T00:00:00"/>
    <n v="7"/>
    <n v="3"/>
    <n v="4"/>
    <n v="5"/>
    <s v="Passive"/>
  </r>
  <r>
    <s v="L1892"/>
    <x v="0"/>
    <s v="Warm"/>
    <d v="2025-10-20T00:00:00"/>
    <d v="2025-10-25T00:00:00"/>
    <d v="2025-10-27T00:00:00"/>
    <d v="2025-11-03T00:00:00"/>
    <s v="No"/>
    <m/>
    <d v="2025-11-13T00:00:00"/>
    <n v="7"/>
    <n v="5"/>
    <n v="2"/>
    <n v="7"/>
    <s v="Passive"/>
  </r>
  <r>
    <s v="L1893"/>
    <x v="2"/>
    <s v="Warm"/>
    <d v="2025-10-01T00:00:00"/>
    <d v="2025-10-04T00:00:00"/>
    <d v="2025-10-07T00:00:00"/>
    <d v="2025-10-12T00:00:00"/>
    <s v="No"/>
    <m/>
    <d v="2025-10-24T00:00:00"/>
    <n v="7"/>
    <n v="3"/>
    <n v="3"/>
    <n v="5"/>
    <s v="Passive"/>
  </r>
  <r>
    <s v="L1894"/>
    <x v="1"/>
    <s v="Warm"/>
    <d v="2025-10-09T00:00:00"/>
    <d v="2025-10-11T00:00:00"/>
    <d v="2025-10-13T00:00:00"/>
    <d v="2025-10-16T00:00:00"/>
    <s v="No"/>
    <m/>
    <d v="2025-10-29T00:00:00"/>
    <n v="1"/>
    <n v="2"/>
    <n v="2"/>
    <n v="3"/>
    <s v="Detractor"/>
  </r>
  <r>
    <s v="L1895"/>
    <x v="0"/>
    <s v="Warm"/>
    <d v="2025-10-28T00:00:00"/>
    <d v="2025-10-30T00:00:00"/>
    <d v="2025-11-02T00:00:00"/>
    <d v="2025-11-06T00:00:00"/>
    <s v="Yes"/>
    <s v="Price"/>
    <m/>
    <m/>
    <n v="2"/>
    <n v="3"/>
    <n v="4"/>
    <s v="Detractor"/>
  </r>
  <r>
    <s v="L1896"/>
    <x v="0"/>
    <s v="Cold"/>
    <d v="2025-10-05T00:00:00"/>
    <m/>
    <m/>
    <m/>
    <s v="Yes"/>
    <s v="Price"/>
    <m/>
    <m/>
    <m/>
    <n v="0"/>
    <n v="0"/>
    <s v="Detractor"/>
  </r>
  <r>
    <s v="L1897"/>
    <x v="1"/>
    <s v="Cold"/>
    <d v="2025-10-05T00:00:00"/>
    <m/>
    <m/>
    <m/>
    <s v="Yes"/>
    <s v="Changed Mind"/>
    <m/>
    <m/>
    <m/>
    <n v="0"/>
    <n v="0"/>
    <s v="Detractor"/>
  </r>
  <r>
    <s v="L1898"/>
    <x v="0"/>
    <s v="Cold"/>
    <d v="2025-10-18T00:00:00"/>
    <m/>
    <m/>
    <m/>
    <s v="Yes"/>
    <s v="Other"/>
    <m/>
    <m/>
    <m/>
    <n v="0"/>
    <n v="0"/>
    <s v="Detractor"/>
  </r>
  <r>
    <s v="L1899"/>
    <x v="3"/>
    <s v="Hot"/>
    <d v="2025-10-09T00:00:00"/>
    <d v="2025-10-13T00:00:00"/>
    <d v="2025-10-15T00:00:00"/>
    <d v="2025-10-18T00:00:00"/>
    <s v="No"/>
    <m/>
    <d v="2025-11-15T00:00:00"/>
    <n v="9"/>
    <n v="4"/>
    <n v="2"/>
    <n v="3"/>
    <s v="Promoter"/>
  </r>
  <r>
    <s v="L1900"/>
    <x v="1"/>
    <s v="Warm"/>
    <d v="2025-10-26T00:00:00"/>
    <d v="2025-10-31T00:00:00"/>
    <d v="2025-11-04T00:00:00"/>
    <d v="2025-11-07T00:00:00"/>
    <s v="No"/>
    <m/>
    <d v="2025-12-02T00:00:00"/>
    <n v="10"/>
    <n v="5"/>
    <n v="4"/>
    <n v="3"/>
    <s v="Promoter"/>
  </r>
  <r>
    <s v="L1901"/>
    <x v="1"/>
    <s v="Warm"/>
    <d v="2025-10-06T00:00:00"/>
    <d v="2025-10-10T00:00:00"/>
    <d v="2025-10-14T00:00:00"/>
    <d v="2025-10-18T00:00:00"/>
    <s v="No"/>
    <m/>
    <d v="2025-11-01T00:00:00"/>
    <n v="0"/>
    <n v="4"/>
    <n v="4"/>
    <n v="4"/>
    <s v="Detractor"/>
  </r>
  <r>
    <s v="L1902"/>
    <x v="1"/>
    <s v="Warm"/>
    <d v="2025-10-04T00:00:00"/>
    <d v="2025-10-08T00:00:00"/>
    <d v="2025-10-09T00:00:00"/>
    <d v="2025-10-13T00:00:00"/>
    <s v="No"/>
    <m/>
    <d v="2025-10-25T00:00:00"/>
    <n v="5"/>
    <n v="4"/>
    <n v="1"/>
    <n v="4"/>
    <s v="Detractor"/>
  </r>
  <r>
    <s v="L1903"/>
    <x v="3"/>
    <s v="Warm"/>
    <d v="2025-10-22T00:00:00"/>
    <d v="2025-10-25T00:00:00"/>
    <d v="2025-10-29T00:00:00"/>
    <d v="2025-11-03T00:00:00"/>
    <s v="No"/>
    <m/>
    <d v="2025-11-29T00:00:00"/>
    <n v="9"/>
    <n v="3"/>
    <n v="4"/>
    <n v="5"/>
    <s v="Promoter"/>
  </r>
  <r>
    <s v="L1904"/>
    <x v="1"/>
    <s v="Cold"/>
    <d v="2025-10-28T00:00:00"/>
    <m/>
    <m/>
    <m/>
    <s v="Yes"/>
    <s v="Financing Issue"/>
    <m/>
    <m/>
    <m/>
    <n v="0"/>
    <n v="0"/>
    <s v="Detractor"/>
  </r>
  <r>
    <s v="L1905"/>
    <x v="3"/>
    <s v="Warm"/>
    <d v="2025-10-01T00:00:00"/>
    <d v="2025-10-05T00:00:00"/>
    <d v="2025-10-10T00:00:00"/>
    <d v="2025-10-13T00:00:00"/>
    <s v="No"/>
    <m/>
    <d v="2025-10-25T00:00:00"/>
    <n v="7"/>
    <n v="4"/>
    <n v="5"/>
    <n v="3"/>
    <s v="Passive"/>
  </r>
  <r>
    <s v="L1906"/>
    <x v="1"/>
    <s v="Warm"/>
    <d v="2025-10-05T00:00:00"/>
    <d v="2025-10-06T00:00:00"/>
    <d v="2025-10-10T00:00:00"/>
    <d v="2025-10-12T00:00:00"/>
    <s v="No"/>
    <m/>
    <d v="2025-10-25T00:00:00"/>
    <n v="4"/>
    <n v="1"/>
    <n v="4"/>
    <n v="2"/>
    <s v="Detractor"/>
  </r>
  <r>
    <s v="L1907"/>
    <x v="2"/>
    <s v="Hot"/>
    <d v="2025-10-01T00:00:00"/>
    <d v="2025-10-02T00:00:00"/>
    <d v="2025-10-07T00:00:00"/>
    <d v="2025-10-13T00:00:00"/>
    <s v="No"/>
    <m/>
    <d v="2025-10-31T00:00:00"/>
    <n v="2"/>
    <n v="1"/>
    <n v="5"/>
    <n v="6"/>
    <s v="Detractor"/>
  </r>
  <r>
    <s v="L1908"/>
    <x v="0"/>
    <s v="Warm"/>
    <d v="2025-10-12T00:00:00"/>
    <d v="2025-10-16T00:00:00"/>
    <d v="2025-10-20T00:00:00"/>
    <d v="2025-10-26T00:00:00"/>
    <s v="No"/>
    <m/>
    <d v="2025-11-25T00:00:00"/>
    <n v="8"/>
    <n v="4"/>
    <n v="4"/>
    <n v="6"/>
    <s v="Passive"/>
  </r>
  <r>
    <s v="L1909"/>
    <x v="2"/>
    <s v="Warm"/>
    <d v="2025-10-26T00:00:00"/>
    <d v="2025-10-31T00:00:00"/>
    <d v="2025-11-05T00:00:00"/>
    <d v="2025-11-11T00:00:00"/>
    <s v="No"/>
    <m/>
    <d v="2025-11-28T00:00:00"/>
    <n v="2"/>
    <n v="5"/>
    <n v="5"/>
    <n v="6"/>
    <s v="Detractor"/>
  </r>
  <r>
    <s v="L1910"/>
    <x v="0"/>
    <s v="Warm"/>
    <d v="2025-10-26T00:00:00"/>
    <d v="2025-10-30T00:00:00"/>
    <d v="2025-11-04T00:00:00"/>
    <d v="2025-11-07T00:00:00"/>
    <s v="No"/>
    <m/>
    <d v="2025-12-01T00:00:00"/>
    <n v="4"/>
    <n v="4"/>
    <n v="5"/>
    <n v="3"/>
    <s v="Detractor"/>
  </r>
  <r>
    <s v="L1911"/>
    <x v="3"/>
    <s v="Hot"/>
    <d v="2025-10-08T00:00:00"/>
    <d v="2025-10-10T00:00:00"/>
    <d v="2025-10-14T00:00:00"/>
    <d v="2025-10-21T00:00:00"/>
    <s v="No"/>
    <m/>
    <d v="2025-11-09T00:00:00"/>
    <n v="1"/>
    <n v="2"/>
    <n v="4"/>
    <n v="7"/>
    <s v="Detractor"/>
  </r>
  <r>
    <s v="L1912"/>
    <x v="2"/>
    <s v="Hot"/>
    <d v="2025-10-19T00:00:00"/>
    <d v="2025-10-21T00:00:00"/>
    <d v="2025-10-26T00:00:00"/>
    <d v="2025-10-30T00:00:00"/>
    <s v="No"/>
    <m/>
    <d v="2025-11-17T00:00:00"/>
    <n v="8"/>
    <n v="2"/>
    <n v="5"/>
    <n v="4"/>
    <s v="Passive"/>
  </r>
  <r>
    <s v="L1913"/>
    <x v="1"/>
    <s v="Warm"/>
    <d v="2025-10-11T00:00:00"/>
    <d v="2025-10-16T00:00:00"/>
    <d v="2025-10-17T00:00:00"/>
    <d v="2025-10-22T00:00:00"/>
    <s v="No"/>
    <m/>
    <d v="2025-11-15T00:00:00"/>
    <n v="9"/>
    <n v="5"/>
    <n v="1"/>
    <n v="5"/>
    <s v="Promoter"/>
  </r>
  <r>
    <s v="L1914"/>
    <x v="0"/>
    <s v="Hot"/>
    <d v="2025-10-01T00:00:00"/>
    <d v="2025-10-04T00:00:00"/>
    <d v="2025-10-07T00:00:00"/>
    <d v="2025-10-12T00:00:00"/>
    <s v="No"/>
    <m/>
    <d v="2025-10-23T00:00:00"/>
    <n v="4"/>
    <n v="3"/>
    <n v="3"/>
    <n v="5"/>
    <s v="Detractor"/>
  </r>
  <r>
    <s v="L1915"/>
    <x v="0"/>
    <s v="Hot"/>
    <d v="2025-10-06T00:00:00"/>
    <d v="2025-10-07T00:00:00"/>
    <d v="2025-10-12T00:00:00"/>
    <d v="2025-10-18T00:00:00"/>
    <s v="No"/>
    <m/>
    <d v="2025-10-31T00:00:00"/>
    <n v="1"/>
    <n v="1"/>
    <n v="5"/>
    <n v="6"/>
    <s v="Detractor"/>
  </r>
  <r>
    <s v="L1916"/>
    <x v="2"/>
    <s v="Hot"/>
    <d v="2025-10-09T00:00:00"/>
    <d v="2025-10-10T00:00:00"/>
    <d v="2025-10-15T00:00:00"/>
    <d v="2025-10-20T00:00:00"/>
    <s v="No"/>
    <m/>
    <d v="2025-11-04T00:00:00"/>
    <n v="6"/>
    <n v="1"/>
    <n v="5"/>
    <n v="5"/>
    <s v="Detractor"/>
  </r>
  <r>
    <s v="L1917"/>
    <x v="3"/>
    <s v="Hot"/>
    <d v="2025-10-02T00:00:00"/>
    <d v="2025-10-05T00:00:00"/>
    <d v="2025-10-06T00:00:00"/>
    <d v="2025-10-08T00:00:00"/>
    <s v="No"/>
    <m/>
    <d v="2025-10-19T00:00:00"/>
    <n v="8"/>
    <n v="3"/>
    <n v="1"/>
    <n v="2"/>
    <s v="Passive"/>
  </r>
  <r>
    <s v="L1918"/>
    <x v="2"/>
    <s v="Hot"/>
    <d v="2025-10-05T00:00:00"/>
    <d v="2025-10-09T00:00:00"/>
    <d v="2025-10-10T00:00:00"/>
    <d v="2025-10-12T00:00:00"/>
    <s v="No"/>
    <m/>
    <d v="2025-10-31T00:00:00"/>
    <n v="1"/>
    <n v="4"/>
    <n v="1"/>
    <n v="2"/>
    <s v="Detractor"/>
  </r>
  <r>
    <s v="L1919"/>
    <x v="3"/>
    <s v="Warm"/>
    <d v="2025-10-24T00:00:00"/>
    <d v="2025-10-29T00:00:00"/>
    <d v="2025-10-31T00:00:00"/>
    <d v="2025-11-04T00:00:00"/>
    <s v="No"/>
    <m/>
    <d v="2025-11-25T00:00:00"/>
    <n v="6"/>
    <n v="5"/>
    <n v="2"/>
    <n v="4"/>
    <s v="Detractor"/>
  </r>
  <r>
    <s v="L1920"/>
    <x v="3"/>
    <s v="Warm"/>
    <d v="2025-10-14T00:00:00"/>
    <d v="2025-10-18T00:00:00"/>
    <d v="2025-10-21T00:00:00"/>
    <d v="2025-10-26T00:00:00"/>
    <s v="No"/>
    <m/>
    <d v="2025-11-15T00:00:00"/>
    <n v="0"/>
    <n v="4"/>
    <n v="3"/>
    <n v="5"/>
    <s v="Detractor"/>
  </r>
  <r>
    <s v="L1921"/>
    <x v="0"/>
    <s v="Cold"/>
    <d v="2025-10-17T00:00:00"/>
    <m/>
    <m/>
    <m/>
    <s v="Yes"/>
    <s v="Other"/>
    <m/>
    <m/>
    <m/>
    <n v="0"/>
    <n v="0"/>
    <s v="Detractor"/>
  </r>
  <r>
    <s v="L1922"/>
    <x v="2"/>
    <s v="Warm"/>
    <d v="2025-10-04T00:00:00"/>
    <d v="2025-10-07T00:00:00"/>
    <d v="2025-10-09T00:00:00"/>
    <d v="2025-10-12T00:00:00"/>
    <s v="No"/>
    <m/>
    <d v="2025-11-04T00:00:00"/>
    <n v="6"/>
    <n v="3"/>
    <n v="2"/>
    <n v="3"/>
    <s v="Detractor"/>
  </r>
  <r>
    <s v="L1923"/>
    <x v="2"/>
    <s v="Warm"/>
    <d v="2025-10-24T00:00:00"/>
    <d v="2025-10-29T00:00:00"/>
    <d v="2025-11-03T00:00:00"/>
    <d v="2025-11-08T00:00:00"/>
    <s v="No"/>
    <m/>
    <d v="2025-11-21T00:00:00"/>
    <n v="6"/>
    <n v="5"/>
    <n v="5"/>
    <n v="5"/>
    <s v="Detractor"/>
  </r>
  <r>
    <s v="L1924"/>
    <x v="3"/>
    <s v="Hot"/>
    <d v="2025-10-03T00:00:00"/>
    <d v="2025-10-04T00:00:00"/>
    <d v="2025-10-05T00:00:00"/>
    <d v="2025-10-08T00:00:00"/>
    <s v="No"/>
    <m/>
    <d v="2025-10-21T00:00:00"/>
    <n v="6"/>
    <n v="1"/>
    <n v="1"/>
    <n v="3"/>
    <s v="Detractor"/>
  </r>
  <r>
    <s v="L1925"/>
    <x v="2"/>
    <s v="Hot"/>
    <d v="2025-10-16T00:00:00"/>
    <d v="2025-10-17T00:00:00"/>
    <d v="2025-10-22T00:00:00"/>
    <d v="2025-10-29T00:00:00"/>
    <s v="No"/>
    <m/>
    <d v="2025-11-09T00:00:00"/>
    <n v="2"/>
    <n v="1"/>
    <n v="5"/>
    <n v="7"/>
    <s v="Detractor"/>
  </r>
  <r>
    <s v="L1926"/>
    <x v="1"/>
    <s v="Warm"/>
    <d v="2025-10-15T00:00:00"/>
    <d v="2025-10-19T00:00:00"/>
    <d v="2025-10-23T00:00:00"/>
    <d v="2025-10-29T00:00:00"/>
    <s v="No"/>
    <m/>
    <d v="2025-11-08T00:00:00"/>
    <n v="7"/>
    <n v="4"/>
    <n v="4"/>
    <n v="6"/>
    <s v="Passive"/>
  </r>
  <r>
    <s v="L1927"/>
    <x v="1"/>
    <s v="Hot"/>
    <d v="2025-10-25T00:00:00"/>
    <d v="2025-10-27T00:00:00"/>
    <d v="2025-10-30T00:00:00"/>
    <d v="2025-11-02T00:00:00"/>
    <s v="Yes"/>
    <s v="Financing Issue"/>
    <m/>
    <m/>
    <n v="2"/>
    <n v="3"/>
    <n v="3"/>
    <s v="Detractor"/>
  </r>
  <r>
    <s v="L1928"/>
    <x v="2"/>
    <s v="Warm"/>
    <d v="2025-10-12T00:00:00"/>
    <d v="2025-10-15T00:00:00"/>
    <d v="2025-10-19T00:00:00"/>
    <d v="2025-10-26T00:00:00"/>
    <s v="No"/>
    <m/>
    <d v="2025-11-09T00:00:00"/>
    <n v="8"/>
    <n v="3"/>
    <n v="4"/>
    <n v="7"/>
    <s v="Passive"/>
  </r>
  <r>
    <s v="L1929"/>
    <x v="2"/>
    <s v="Warm"/>
    <d v="2025-10-17T00:00:00"/>
    <d v="2025-10-20T00:00:00"/>
    <d v="2025-10-21T00:00:00"/>
    <d v="2025-10-27T00:00:00"/>
    <s v="No"/>
    <m/>
    <d v="2025-11-26T00:00:00"/>
    <n v="1"/>
    <n v="3"/>
    <n v="1"/>
    <n v="6"/>
    <s v="Detractor"/>
  </r>
  <r>
    <s v="L1930"/>
    <x v="3"/>
    <s v="Warm"/>
    <d v="2025-10-19T00:00:00"/>
    <d v="2025-10-23T00:00:00"/>
    <d v="2025-10-24T00:00:00"/>
    <d v="2025-10-26T00:00:00"/>
    <s v="No"/>
    <m/>
    <d v="2025-11-10T00:00:00"/>
    <n v="7"/>
    <n v="4"/>
    <n v="1"/>
    <n v="2"/>
    <s v="Passive"/>
  </r>
  <r>
    <s v="L1931"/>
    <x v="1"/>
    <s v="Hot"/>
    <d v="2025-10-04T00:00:00"/>
    <d v="2025-10-07T00:00:00"/>
    <d v="2025-10-08T00:00:00"/>
    <d v="2025-10-13T00:00:00"/>
    <s v="No"/>
    <m/>
    <d v="2025-11-02T00:00:00"/>
    <n v="9"/>
    <n v="3"/>
    <n v="1"/>
    <n v="5"/>
    <s v="Promoter"/>
  </r>
  <r>
    <s v="L1932"/>
    <x v="1"/>
    <s v="Warm"/>
    <d v="2025-10-15T00:00:00"/>
    <d v="2025-10-16T00:00:00"/>
    <d v="2025-10-19T00:00:00"/>
    <d v="2025-10-26T00:00:00"/>
    <s v="No"/>
    <m/>
    <d v="2025-11-16T00:00:00"/>
    <n v="2"/>
    <n v="1"/>
    <n v="3"/>
    <n v="7"/>
    <s v="Detractor"/>
  </r>
  <r>
    <s v="L1933"/>
    <x v="0"/>
    <s v="Warm"/>
    <d v="2025-10-17T00:00:00"/>
    <d v="2025-10-21T00:00:00"/>
    <d v="2025-10-23T00:00:00"/>
    <d v="2025-10-27T00:00:00"/>
    <s v="Yes"/>
    <s v="Changed Mind"/>
    <m/>
    <m/>
    <n v="4"/>
    <n v="2"/>
    <n v="4"/>
    <s v="Detractor"/>
  </r>
  <r>
    <s v="L1934"/>
    <x v="3"/>
    <s v="Hot"/>
    <d v="2025-10-08T00:00:00"/>
    <d v="2025-10-09T00:00:00"/>
    <d v="2025-10-14T00:00:00"/>
    <d v="2025-10-19T00:00:00"/>
    <s v="No"/>
    <m/>
    <d v="2025-11-12T00:00:00"/>
    <n v="9"/>
    <n v="1"/>
    <n v="5"/>
    <n v="5"/>
    <s v="Promoter"/>
  </r>
  <r>
    <s v="L1935"/>
    <x v="0"/>
    <s v="Warm"/>
    <d v="2025-10-31T00:00:00"/>
    <d v="2025-11-05T00:00:00"/>
    <d v="2025-11-10T00:00:00"/>
    <d v="2025-11-16T00:00:00"/>
    <s v="No"/>
    <m/>
    <d v="2025-12-15T00:00:00"/>
    <n v="2"/>
    <n v="5"/>
    <n v="5"/>
    <n v="6"/>
    <s v="Detractor"/>
  </r>
  <r>
    <s v="L1936"/>
    <x v="1"/>
    <s v="Warm"/>
    <d v="2025-10-20T00:00:00"/>
    <d v="2025-10-25T00:00:00"/>
    <d v="2025-10-30T00:00:00"/>
    <d v="2025-11-04T00:00:00"/>
    <s v="No"/>
    <m/>
    <d v="2025-11-22T00:00:00"/>
    <n v="4"/>
    <n v="5"/>
    <n v="5"/>
    <n v="5"/>
    <s v="Detractor"/>
  </r>
  <r>
    <s v="L1937"/>
    <x v="3"/>
    <s v="Cold"/>
    <d v="2025-10-02T00:00:00"/>
    <m/>
    <m/>
    <m/>
    <s v="Yes"/>
    <s v="Price"/>
    <m/>
    <m/>
    <m/>
    <n v="0"/>
    <n v="0"/>
    <s v="Detractor"/>
  </r>
  <r>
    <s v="L1938"/>
    <x v="2"/>
    <s v="Hot"/>
    <d v="2025-10-24T00:00:00"/>
    <d v="2025-10-26T00:00:00"/>
    <d v="2025-10-31T00:00:00"/>
    <d v="2025-11-04T00:00:00"/>
    <s v="No"/>
    <m/>
    <d v="2025-11-16T00:00:00"/>
    <n v="7"/>
    <n v="2"/>
    <n v="5"/>
    <n v="4"/>
    <s v="Passive"/>
  </r>
  <r>
    <s v="L1939"/>
    <x v="3"/>
    <s v="Cold"/>
    <d v="2025-10-26T00:00:00"/>
    <m/>
    <m/>
    <m/>
    <s v="Yes"/>
    <s v="Price"/>
    <m/>
    <m/>
    <m/>
    <n v="0"/>
    <n v="0"/>
    <s v="Detractor"/>
  </r>
  <r>
    <s v="L1940"/>
    <x v="2"/>
    <s v="Warm"/>
    <d v="2025-10-30T00:00:00"/>
    <d v="2025-11-02T00:00:00"/>
    <d v="2025-11-07T00:00:00"/>
    <d v="2025-11-13T00:00:00"/>
    <s v="No"/>
    <m/>
    <d v="2025-12-04T00:00:00"/>
    <n v="8"/>
    <n v="3"/>
    <n v="5"/>
    <n v="6"/>
    <s v="Passive"/>
  </r>
  <r>
    <s v="L1941"/>
    <x v="2"/>
    <s v="Warm"/>
    <d v="2025-10-28T00:00:00"/>
    <d v="2025-11-02T00:00:00"/>
    <d v="2025-11-04T00:00:00"/>
    <d v="2025-11-10T00:00:00"/>
    <s v="No"/>
    <m/>
    <d v="2025-11-30T00:00:00"/>
    <n v="5"/>
    <n v="5"/>
    <n v="2"/>
    <n v="6"/>
    <s v="Detractor"/>
  </r>
  <r>
    <s v="L1942"/>
    <x v="3"/>
    <s v="Hot"/>
    <d v="2025-10-22T00:00:00"/>
    <d v="2025-10-25T00:00:00"/>
    <d v="2025-10-29T00:00:00"/>
    <d v="2025-11-02T00:00:00"/>
    <s v="No"/>
    <m/>
    <d v="2025-11-17T00:00:00"/>
    <n v="4"/>
    <n v="3"/>
    <n v="4"/>
    <n v="4"/>
    <s v="Detractor"/>
  </r>
  <r>
    <s v="L1943"/>
    <x v="2"/>
    <s v="Warm"/>
    <d v="2025-10-17T00:00:00"/>
    <d v="2025-10-18T00:00:00"/>
    <d v="2025-10-21T00:00:00"/>
    <d v="2025-10-26T00:00:00"/>
    <s v="No"/>
    <m/>
    <d v="2025-11-08T00:00:00"/>
    <n v="2"/>
    <n v="1"/>
    <n v="3"/>
    <n v="5"/>
    <s v="Detractor"/>
  </r>
  <r>
    <s v="L1944"/>
    <x v="0"/>
    <s v="Hot"/>
    <d v="2025-10-10T00:00:00"/>
    <d v="2025-10-14T00:00:00"/>
    <d v="2025-10-18T00:00:00"/>
    <d v="2025-10-22T00:00:00"/>
    <s v="No"/>
    <m/>
    <d v="2025-11-13T00:00:00"/>
    <n v="3"/>
    <n v="4"/>
    <n v="4"/>
    <n v="4"/>
    <s v="Detractor"/>
  </r>
  <r>
    <s v="L1945"/>
    <x v="1"/>
    <s v="Warm"/>
    <d v="2025-10-15T00:00:00"/>
    <d v="2025-10-20T00:00:00"/>
    <d v="2025-10-24T00:00:00"/>
    <d v="2025-10-27T00:00:00"/>
    <s v="No"/>
    <m/>
    <d v="2025-11-18T00:00:00"/>
    <n v="6"/>
    <n v="5"/>
    <n v="4"/>
    <n v="3"/>
    <s v="Detractor"/>
  </r>
  <r>
    <s v="L1946"/>
    <x v="2"/>
    <s v="Hot"/>
    <d v="2025-10-21T00:00:00"/>
    <d v="2025-10-25T00:00:00"/>
    <d v="2025-10-30T00:00:00"/>
    <d v="2025-11-01T00:00:00"/>
    <s v="No"/>
    <m/>
    <d v="2025-11-25T00:00:00"/>
    <n v="6"/>
    <n v="4"/>
    <n v="5"/>
    <n v="2"/>
    <s v="Detractor"/>
  </r>
  <r>
    <s v="L1947"/>
    <x v="0"/>
    <s v="Cold"/>
    <d v="2025-10-31T00:00:00"/>
    <m/>
    <m/>
    <m/>
    <s v="Yes"/>
    <s v="Other"/>
    <m/>
    <m/>
    <m/>
    <n v="0"/>
    <n v="0"/>
    <s v="Detractor"/>
  </r>
  <r>
    <s v="L1948"/>
    <x v="2"/>
    <s v="Warm"/>
    <d v="2025-10-01T00:00:00"/>
    <d v="2025-10-06T00:00:00"/>
    <d v="2025-10-11T00:00:00"/>
    <d v="2025-10-15T00:00:00"/>
    <s v="No"/>
    <m/>
    <d v="2025-11-02T00:00:00"/>
    <n v="8"/>
    <n v="5"/>
    <n v="5"/>
    <n v="4"/>
    <s v="Passive"/>
  </r>
  <r>
    <s v="L1949"/>
    <x v="1"/>
    <s v="Warm"/>
    <d v="2025-10-02T00:00:00"/>
    <d v="2025-10-05T00:00:00"/>
    <d v="2025-10-07T00:00:00"/>
    <d v="2025-10-13T00:00:00"/>
    <s v="No"/>
    <m/>
    <d v="2025-11-04T00:00:00"/>
    <n v="2"/>
    <n v="3"/>
    <n v="2"/>
    <n v="6"/>
    <s v="Detractor"/>
  </r>
  <r>
    <s v="L1950"/>
    <x v="0"/>
    <s v="Hot"/>
    <d v="2025-10-16T00:00:00"/>
    <d v="2025-10-21T00:00:00"/>
    <d v="2025-10-24T00:00:00"/>
    <d v="2025-10-27T00:00:00"/>
    <s v="No"/>
    <m/>
    <d v="2025-11-21T00:00:00"/>
    <n v="3"/>
    <n v="5"/>
    <n v="3"/>
    <n v="3"/>
    <s v="Detractor"/>
  </r>
  <r>
    <s v="L1951"/>
    <x v="1"/>
    <s v="Hot"/>
    <d v="2025-10-28T00:00:00"/>
    <d v="2025-11-02T00:00:00"/>
    <d v="2025-11-03T00:00:00"/>
    <d v="2025-11-05T00:00:00"/>
    <s v="No"/>
    <m/>
    <d v="2025-11-28T00:00:00"/>
    <n v="1"/>
    <n v="5"/>
    <n v="1"/>
    <n v="2"/>
    <s v="Detractor"/>
  </r>
  <r>
    <s v="L1952"/>
    <x v="1"/>
    <s v="Warm"/>
    <d v="2025-10-13T00:00:00"/>
    <d v="2025-10-14T00:00:00"/>
    <d v="2025-10-18T00:00:00"/>
    <d v="2025-10-22T00:00:00"/>
    <s v="No"/>
    <m/>
    <d v="2025-11-21T00:00:00"/>
    <n v="1"/>
    <n v="1"/>
    <n v="4"/>
    <n v="4"/>
    <s v="Detractor"/>
  </r>
  <r>
    <s v="L1953"/>
    <x v="0"/>
    <s v="Warm"/>
    <d v="2025-10-14T00:00:00"/>
    <d v="2025-10-16T00:00:00"/>
    <d v="2025-10-17T00:00:00"/>
    <d v="2025-10-19T00:00:00"/>
    <s v="No"/>
    <m/>
    <d v="2025-11-03T00:00:00"/>
    <n v="6"/>
    <n v="2"/>
    <n v="1"/>
    <n v="2"/>
    <s v="Detractor"/>
  </r>
  <r>
    <s v="L1954"/>
    <x v="0"/>
    <s v="Hot"/>
    <d v="2025-10-22T00:00:00"/>
    <d v="2025-10-23T00:00:00"/>
    <d v="2025-10-26T00:00:00"/>
    <d v="2025-10-31T00:00:00"/>
    <s v="No"/>
    <m/>
    <d v="2025-11-13T00:00:00"/>
    <n v="1"/>
    <n v="1"/>
    <n v="3"/>
    <n v="5"/>
    <s v="Detractor"/>
  </r>
  <r>
    <s v="L1955"/>
    <x v="0"/>
    <s v="Warm"/>
    <d v="2025-10-04T00:00:00"/>
    <d v="2025-10-08T00:00:00"/>
    <d v="2025-10-12T00:00:00"/>
    <d v="2025-10-18T00:00:00"/>
    <s v="No"/>
    <m/>
    <d v="2025-11-01T00:00:00"/>
    <n v="2"/>
    <n v="4"/>
    <n v="4"/>
    <n v="6"/>
    <s v="Detractor"/>
  </r>
  <r>
    <s v="L1956"/>
    <x v="3"/>
    <s v="Cold"/>
    <d v="2025-10-16T00:00:00"/>
    <m/>
    <m/>
    <m/>
    <s v="Yes"/>
    <s v="Price"/>
    <m/>
    <m/>
    <m/>
    <n v="0"/>
    <n v="0"/>
    <s v="Detractor"/>
  </r>
  <r>
    <s v="L1957"/>
    <x v="0"/>
    <s v="Warm"/>
    <d v="2025-10-23T00:00:00"/>
    <d v="2025-10-26T00:00:00"/>
    <d v="2025-10-27T00:00:00"/>
    <d v="2025-10-31T00:00:00"/>
    <s v="No"/>
    <m/>
    <d v="2025-11-11T00:00:00"/>
    <n v="10"/>
    <n v="3"/>
    <n v="1"/>
    <n v="4"/>
    <s v="Promoter"/>
  </r>
  <r>
    <s v="L1958"/>
    <x v="0"/>
    <s v="Warm"/>
    <d v="2025-10-30T00:00:00"/>
    <d v="2025-11-02T00:00:00"/>
    <d v="2025-11-03T00:00:00"/>
    <d v="2025-11-09T00:00:00"/>
    <s v="No"/>
    <m/>
    <d v="2025-11-24T00:00:00"/>
    <n v="1"/>
    <n v="3"/>
    <n v="1"/>
    <n v="6"/>
    <s v="Detractor"/>
  </r>
  <r>
    <s v="L1959"/>
    <x v="0"/>
    <s v="Cold"/>
    <d v="2025-10-15T00:00:00"/>
    <m/>
    <m/>
    <m/>
    <s v="Yes"/>
    <s v="Changed Mind"/>
    <m/>
    <m/>
    <m/>
    <n v="0"/>
    <n v="0"/>
    <s v="Detractor"/>
  </r>
  <r>
    <s v="L1960"/>
    <x v="0"/>
    <s v="Hot"/>
    <d v="2025-10-03T00:00:00"/>
    <d v="2025-10-08T00:00:00"/>
    <d v="2025-10-10T00:00:00"/>
    <d v="2025-10-13T00:00:00"/>
    <s v="No"/>
    <m/>
    <d v="2025-10-26T00:00:00"/>
    <n v="8"/>
    <n v="5"/>
    <n v="2"/>
    <n v="3"/>
    <s v="Passive"/>
  </r>
  <r>
    <s v="L1961"/>
    <x v="2"/>
    <s v="Warm"/>
    <d v="2025-10-29T00:00:00"/>
    <d v="2025-11-01T00:00:00"/>
    <d v="2025-11-04T00:00:00"/>
    <d v="2025-11-07T00:00:00"/>
    <s v="No"/>
    <m/>
    <d v="2025-11-30T00:00:00"/>
    <n v="6"/>
    <n v="3"/>
    <n v="3"/>
    <n v="3"/>
    <s v="Detractor"/>
  </r>
  <r>
    <s v="L1962"/>
    <x v="3"/>
    <s v="Cold"/>
    <d v="2025-10-03T00:00:00"/>
    <m/>
    <m/>
    <m/>
    <s v="Yes"/>
    <s v="Other"/>
    <m/>
    <m/>
    <m/>
    <n v="0"/>
    <n v="0"/>
    <s v="Detractor"/>
  </r>
  <r>
    <s v="L1963"/>
    <x v="1"/>
    <s v="Hot"/>
    <d v="2025-10-11T00:00:00"/>
    <d v="2025-10-13T00:00:00"/>
    <d v="2025-10-16T00:00:00"/>
    <d v="2025-10-18T00:00:00"/>
    <s v="No"/>
    <m/>
    <d v="2025-11-15T00:00:00"/>
    <n v="3"/>
    <n v="2"/>
    <n v="3"/>
    <n v="2"/>
    <s v="Detractor"/>
  </r>
  <r>
    <s v="L1964"/>
    <x v="0"/>
    <s v="Warm"/>
    <d v="2025-10-20T00:00:00"/>
    <d v="2025-10-22T00:00:00"/>
    <d v="2025-10-25T00:00:00"/>
    <d v="2025-10-28T00:00:00"/>
    <s v="No"/>
    <m/>
    <d v="2025-11-22T00:00:00"/>
    <n v="9"/>
    <n v="2"/>
    <n v="3"/>
    <n v="3"/>
    <s v="Promoter"/>
  </r>
  <r>
    <s v="L1965"/>
    <x v="2"/>
    <s v="Warm"/>
    <d v="2025-10-05T00:00:00"/>
    <d v="2025-10-10T00:00:00"/>
    <d v="2025-10-14T00:00:00"/>
    <d v="2025-10-21T00:00:00"/>
    <s v="No"/>
    <m/>
    <d v="2025-11-18T00:00:00"/>
    <n v="7"/>
    <n v="5"/>
    <n v="4"/>
    <n v="7"/>
    <s v="Passive"/>
  </r>
  <r>
    <s v="L1966"/>
    <x v="2"/>
    <s v="Warm"/>
    <d v="2025-10-03T00:00:00"/>
    <d v="2025-10-08T00:00:00"/>
    <d v="2025-10-10T00:00:00"/>
    <d v="2025-10-13T00:00:00"/>
    <s v="No"/>
    <m/>
    <d v="2025-11-06T00:00:00"/>
    <n v="4"/>
    <n v="5"/>
    <n v="2"/>
    <n v="3"/>
    <s v="Detractor"/>
  </r>
  <r>
    <s v="L1967"/>
    <x v="2"/>
    <s v="Warm"/>
    <d v="2025-10-05T00:00:00"/>
    <d v="2025-10-09T00:00:00"/>
    <d v="2025-10-14T00:00:00"/>
    <d v="2025-10-18T00:00:00"/>
    <s v="No"/>
    <m/>
    <d v="2025-11-02T00:00:00"/>
    <n v="7"/>
    <n v="4"/>
    <n v="5"/>
    <n v="4"/>
    <s v="Passive"/>
  </r>
  <r>
    <s v="L1968"/>
    <x v="1"/>
    <s v="Cold"/>
    <d v="2025-10-09T00:00:00"/>
    <m/>
    <m/>
    <m/>
    <s v="Yes"/>
    <s v="Financing Issue"/>
    <m/>
    <m/>
    <m/>
    <n v="0"/>
    <n v="0"/>
    <s v="Detractor"/>
  </r>
  <r>
    <s v="L1969"/>
    <x v="0"/>
    <s v="Warm"/>
    <d v="2025-10-20T00:00:00"/>
    <d v="2025-10-25T00:00:00"/>
    <d v="2025-10-29T00:00:00"/>
    <d v="2025-11-04T00:00:00"/>
    <s v="No"/>
    <m/>
    <d v="2025-12-03T00:00:00"/>
    <n v="6"/>
    <n v="5"/>
    <n v="4"/>
    <n v="6"/>
    <s v="Detractor"/>
  </r>
  <r>
    <s v="L1970"/>
    <x v="3"/>
    <s v="Hot"/>
    <d v="2025-10-21T00:00:00"/>
    <d v="2025-10-22T00:00:00"/>
    <d v="2025-10-25T00:00:00"/>
    <d v="2025-11-01T00:00:00"/>
    <s v="No"/>
    <m/>
    <d v="2025-11-23T00:00:00"/>
    <n v="10"/>
    <n v="1"/>
    <n v="3"/>
    <n v="7"/>
    <s v="Promoter"/>
  </r>
  <r>
    <s v="L1971"/>
    <x v="3"/>
    <s v="Cold"/>
    <d v="2025-10-19T00:00:00"/>
    <m/>
    <m/>
    <m/>
    <s v="Yes"/>
    <s v="Price"/>
    <m/>
    <m/>
    <m/>
    <n v="0"/>
    <n v="0"/>
    <s v="Detractor"/>
  </r>
  <r>
    <s v="L1972"/>
    <x v="2"/>
    <s v="Hot"/>
    <d v="2025-10-18T00:00:00"/>
    <d v="2025-10-19T00:00:00"/>
    <d v="2025-10-23T00:00:00"/>
    <d v="2025-10-25T00:00:00"/>
    <s v="No"/>
    <m/>
    <d v="2025-11-15T00:00:00"/>
    <n v="10"/>
    <n v="1"/>
    <n v="4"/>
    <n v="2"/>
    <s v="Promoter"/>
  </r>
  <r>
    <s v="L1973"/>
    <x v="1"/>
    <s v="Warm"/>
    <d v="2025-10-23T00:00:00"/>
    <d v="2025-10-24T00:00:00"/>
    <d v="2025-10-25T00:00:00"/>
    <d v="2025-10-28T00:00:00"/>
    <s v="No"/>
    <m/>
    <d v="2025-11-26T00:00:00"/>
    <n v="9"/>
    <n v="1"/>
    <n v="1"/>
    <n v="3"/>
    <s v="Promoter"/>
  </r>
  <r>
    <s v="L1974"/>
    <x v="1"/>
    <s v="Warm"/>
    <d v="2025-10-11T00:00:00"/>
    <d v="2025-10-13T00:00:00"/>
    <d v="2025-10-17T00:00:00"/>
    <d v="2025-10-23T00:00:00"/>
    <s v="No"/>
    <m/>
    <d v="2025-11-02T00:00:00"/>
    <n v="7"/>
    <n v="2"/>
    <n v="4"/>
    <n v="6"/>
    <s v="Passive"/>
  </r>
  <r>
    <s v="L1975"/>
    <x v="1"/>
    <s v="Warm"/>
    <d v="2025-10-13T00:00:00"/>
    <d v="2025-10-16T00:00:00"/>
    <d v="2025-10-20T00:00:00"/>
    <d v="2025-10-25T00:00:00"/>
    <s v="Yes"/>
    <s v="Model Unavailable"/>
    <m/>
    <m/>
    <n v="3"/>
    <n v="4"/>
    <n v="5"/>
    <s v="Detractor"/>
  </r>
  <r>
    <s v="L1976"/>
    <x v="3"/>
    <s v="Warm"/>
    <d v="2025-10-20T00:00:00"/>
    <d v="2025-10-24T00:00:00"/>
    <d v="2025-10-27T00:00:00"/>
    <d v="2025-10-31T00:00:00"/>
    <s v="Yes"/>
    <s v="Price"/>
    <m/>
    <m/>
    <n v="4"/>
    <n v="3"/>
    <n v="4"/>
    <s v="Detractor"/>
  </r>
  <r>
    <s v="L1977"/>
    <x v="2"/>
    <s v="Cold"/>
    <d v="2025-10-17T00:00:00"/>
    <m/>
    <m/>
    <m/>
    <s v="Yes"/>
    <s v="Financing Issue"/>
    <m/>
    <m/>
    <m/>
    <n v="0"/>
    <n v="0"/>
    <s v="Detractor"/>
  </r>
  <r>
    <s v="L1978"/>
    <x v="0"/>
    <s v="Warm"/>
    <d v="2025-10-10T00:00:00"/>
    <d v="2025-10-15T00:00:00"/>
    <d v="2025-10-16T00:00:00"/>
    <d v="2025-10-19T00:00:00"/>
    <s v="No"/>
    <m/>
    <d v="2025-11-02T00:00:00"/>
    <n v="8"/>
    <n v="5"/>
    <n v="1"/>
    <n v="3"/>
    <s v="Passive"/>
  </r>
  <r>
    <s v="L1979"/>
    <x v="3"/>
    <s v="Warm"/>
    <d v="2025-10-15T00:00:00"/>
    <d v="2025-10-19T00:00:00"/>
    <d v="2025-10-22T00:00:00"/>
    <d v="2025-10-25T00:00:00"/>
    <s v="No"/>
    <m/>
    <d v="2025-11-19T00:00:00"/>
    <n v="5"/>
    <n v="4"/>
    <n v="3"/>
    <n v="3"/>
    <s v="Detractor"/>
  </r>
  <r>
    <s v="L1980"/>
    <x v="2"/>
    <s v="Hot"/>
    <d v="2025-10-17T00:00:00"/>
    <d v="2025-10-19T00:00:00"/>
    <d v="2025-10-20T00:00:00"/>
    <d v="2025-10-23T00:00:00"/>
    <s v="No"/>
    <m/>
    <d v="2025-11-17T00:00:00"/>
    <n v="0"/>
    <n v="2"/>
    <n v="1"/>
    <n v="3"/>
    <s v="Detractor"/>
  </r>
  <r>
    <s v="L1981"/>
    <x v="2"/>
    <s v="Cold"/>
    <d v="2025-10-20T00:00:00"/>
    <m/>
    <m/>
    <m/>
    <s v="Yes"/>
    <s v="Other"/>
    <m/>
    <m/>
    <m/>
    <n v="0"/>
    <n v="0"/>
    <s v="Detractor"/>
  </r>
  <r>
    <s v="L1982"/>
    <x v="0"/>
    <s v="Cold"/>
    <d v="2025-10-14T00:00:00"/>
    <m/>
    <m/>
    <m/>
    <s v="Yes"/>
    <s v="Financing Issue"/>
    <m/>
    <m/>
    <m/>
    <n v="0"/>
    <n v="0"/>
    <s v="Detractor"/>
  </r>
  <r>
    <s v="L1983"/>
    <x v="0"/>
    <s v="Warm"/>
    <d v="2025-10-04T00:00:00"/>
    <d v="2025-10-09T00:00:00"/>
    <d v="2025-10-10T00:00:00"/>
    <d v="2025-10-16T00:00:00"/>
    <s v="No"/>
    <m/>
    <d v="2025-10-29T00:00:00"/>
    <n v="2"/>
    <n v="5"/>
    <n v="1"/>
    <n v="6"/>
    <s v="Detractor"/>
  </r>
  <r>
    <s v="L1984"/>
    <x v="0"/>
    <s v="Hot"/>
    <d v="2025-10-26T00:00:00"/>
    <d v="2025-10-31T00:00:00"/>
    <d v="2025-11-01T00:00:00"/>
    <d v="2025-11-05T00:00:00"/>
    <s v="No"/>
    <m/>
    <d v="2025-11-28T00:00:00"/>
    <n v="2"/>
    <n v="5"/>
    <n v="1"/>
    <n v="4"/>
    <s v="Detractor"/>
  </r>
  <r>
    <s v="L1985"/>
    <x v="1"/>
    <s v="Hot"/>
    <d v="2025-10-23T00:00:00"/>
    <d v="2025-10-25T00:00:00"/>
    <d v="2025-10-28T00:00:00"/>
    <d v="2025-11-04T00:00:00"/>
    <s v="No"/>
    <m/>
    <d v="2025-11-28T00:00:00"/>
    <n v="7"/>
    <n v="2"/>
    <n v="3"/>
    <n v="7"/>
    <s v="Passive"/>
  </r>
  <r>
    <s v="L1986"/>
    <x v="0"/>
    <s v="Hot"/>
    <d v="2025-10-04T00:00:00"/>
    <d v="2025-10-07T00:00:00"/>
    <d v="2025-10-08T00:00:00"/>
    <d v="2025-10-15T00:00:00"/>
    <s v="No"/>
    <m/>
    <d v="2025-10-26T00:00:00"/>
    <n v="8"/>
    <n v="3"/>
    <n v="1"/>
    <n v="7"/>
    <s v="Passive"/>
  </r>
  <r>
    <s v="L1987"/>
    <x v="2"/>
    <s v="Hot"/>
    <d v="2025-10-28T00:00:00"/>
    <d v="2025-11-02T00:00:00"/>
    <d v="2025-11-04T00:00:00"/>
    <d v="2025-11-08T00:00:00"/>
    <s v="No"/>
    <m/>
    <d v="2025-11-20T00:00:00"/>
    <n v="0"/>
    <n v="5"/>
    <n v="2"/>
    <n v="4"/>
    <s v="Detractor"/>
  </r>
  <r>
    <s v="L1988"/>
    <x v="0"/>
    <s v="Warm"/>
    <d v="2025-10-21T00:00:00"/>
    <d v="2025-10-24T00:00:00"/>
    <d v="2025-10-26T00:00:00"/>
    <d v="2025-11-01T00:00:00"/>
    <s v="No"/>
    <m/>
    <d v="2025-11-19T00:00:00"/>
    <n v="4"/>
    <n v="3"/>
    <n v="2"/>
    <n v="6"/>
    <s v="Detractor"/>
  </r>
  <r>
    <s v="L1989"/>
    <x v="2"/>
    <s v="Cold"/>
    <d v="2025-10-21T00:00:00"/>
    <m/>
    <m/>
    <m/>
    <s v="Yes"/>
    <s v="Model Unavailable"/>
    <m/>
    <m/>
    <m/>
    <n v="0"/>
    <n v="0"/>
    <s v="Detractor"/>
  </r>
  <r>
    <s v="L1990"/>
    <x v="3"/>
    <s v="Warm"/>
    <d v="2025-10-29T00:00:00"/>
    <d v="2025-10-31T00:00:00"/>
    <d v="2025-11-05T00:00:00"/>
    <d v="2025-11-07T00:00:00"/>
    <s v="No"/>
    <m/>
    <d v="2025-12-07T00:00:00"/>
    <n v="6"/>
    <n v="2"/>
    <n v="5"/>
    <n v="2"/>
    <s v="Detractor"/>
  </r>
  <r>
    <s v="L1991"/>
    <x v="1"/>
    <s v="Hot"/>
    <d v="2025-10-25T00:00:00"/>
    <d v="2025-10-29T00:00:00"/>
    <d v="2025-10-31T00:00:00"/>
    <d v="2025-11-07T00:00:00"/>
    <s v="No"/>
    <m/>
    <d v="2025-11-27T00:00:00"/>
    <n v="3"/>
    <n v="4"/>
    <n v="2"/>
    <n v="7"/>
    <s v="Detractor"/>
  </r>
  <r>
    <s v="L1992"/>
    <x v="3"/>
    <s v="Hot"/>
    <d v="2025-10-18T00:00:00"/>
    <d v="2025-10-23T00:00:00"/>
    <d v="2025-10-28T00:00:00"/>
    <d v="2025-11-04T00:00:00"/>
    <s v="No"/>
    <m/>
    <d v="2025-11-14T00:00:00"/>
    <n v="5"/>
    <n v="5"/>
    <n v="5"/>
    <n v="7"/>
    <s v="Detractor"/>
  </r>
  <r>
    <s v="L1993"/>
    <x v="3"/>
    <s v="Hot"/>
    <d v="2025-10-24T00:00:00"/>
    <d v="2025-10-27T00:00:00"/>
    <d v="2025-10-29T00:00:00"/>
    <d v="2025-11-02T00:00:00"/>
    <s v="No"/>
    <m/>
    <d v="2025-11-28T00:00:00"/>
    <n v="7"/>
    <n v="3"/>
    <n v="2"/>
    <n v="4"/>
    <s v="Passive"/>
  </r>
  <r>
    <s v="L1994"/>
    <x v="2"/>
    <s v="Hot"/>
    <d v="2025-10-28T00:00:00"/>
    <d v="2025-11-02T00:00:00"/>
    <d v="2025-11-05T00:00:00"/>
    <d v="2025-11-11T00:00:00"/>
    <s v="No"/>
    <m/>
    <d v="2025-12-09T00:00:00"/>
    <n v="1"/>
    <n v="5"/>
    <n v="3"/>
    <n v="6"/>
    <s v="Detractor"/>
  </r>
  <r>
    <s v="L1995"/>
    <x v="3"/>
    <s v="Hot"/>
    <d v="2025-10-07T00:00:00"/>
    <d v="2025-10-10T00:00:00"/>
    <d v="2025-10-15T00:00:00"/>
    <d v="2025-10-21T00:00:00"/>
    <s v="No"/>
    <m/>
    <d v="2025-11-18T00:00:00"/>
    <n v="5"/>
    <n v="3"/>
    <n v="5"/>
    <n v="6"/>
    <s v="Detractor"/>
  </r>
  <r>
    <s v="L1996"/>
    <x v="2"/>
    <s v="Hot"/>
    <d v="2025-10-14T00:00:00"/>
    <d v="2025-10-19T00:00:00"/>
    <d v="2025-10-23T00:00:00"/>
    <d v="2025-10-26T00:00:00"/>
    <s v="No"/>
    <m/>
    <d v="2025-11-12T00:00:00"/>
    <n v="7"/>
    <n v="5"/>
    <n v="4"/>
    <n v="3"/>
    <s v="Passive"/>
  </r>
  <r>
    <s v="L1997"/>
    <x v="0"/>
    <s v="Warm"/>
    <d v="2025-10-15T00:00:00"/>
    <d v="2025-10-20T00:00:00"/>
    <d v="2025-10-24T00:00:00"/>
    <d v="2025-10-30T00:00:00"/>
    <s v="No"/>
    <m/>
    <d v="2025-11-19T00:00:00"/>
    <n v="3"/>
    <n v="5"/>
    <n v="4"/>
    <n v="6"/>
    <s v="Detractor"/>
  </r>
  <r>
    <s v="L1998"/>
    <x v="0"/>
    <s v="Cold"/>
    <d v="2025-10-29T00:00:00"/>
    <m/>
    <m/>
    <m/>
    <s v="Yes"/>
    <s v="Changed Mind"/>
    <m/>
    <m/>
    <m/>
    <n v="0"/>
    <n v="0"/>
    <s v="Detractor"/>
  </r>
  <r>
    <s v="L1999"/>
    <x v="2"/>
    <s v="Warm"/>
    <d v="2025-10-08T00:00:00"/>
    <d v="2025-10-13T00:00:00"/>
    <d v="2025-10-15T00:00:00"/>
    <d v="2025-10-18T00:00:00"/>
    <s v="No"/>
    <m/>
    <d v="2025-11-13T00:00:00"/>
    <n v="4"/>
    <n v="5"/>
    <n v="2"/>
    <n v="3"/>
    <s v="Detractor"/>
  </r>
  <r>
    <m/>
    <x v="4"/>
    <m/>
    <m/>
    <m/>
    <m/>
    <m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L1000"/>
    <x v="0"/>
    <x v="0"/>
    <x v="0"/>
    <d v="2025-10-25T00:00:00"/>
    <d v="2025-10-29T00:00:00"/>
    <d v="2025-11-03T00:00:00"/>
    <s v="No"/>
    <m/>
    <d v="2025-11-28T00:00:00"/>
    <x v="0"/>
    <n v="4"/>
    <n v="4"/>
    <n v="5"/>
    <x v="0"/>
  </r>
  <r>
    <s v="L1001"/>
    <x v="1"/>
    <x v="0"/>
    <x v="1"/>
    <d v="2025-10-14T00:00:00"/>
    <d v="2025-10-19T00:00:00"/>
    <d v="2025-10-26T00:00:00"/>
    <s v="No"/>
    <m/>
    <d v="2025-11-22T00:00:00"/>
    <x v="1"/>
    <n v="3"/>
    <n v="5"/>
    <n v="7"/>
    <x v="1"/>
  </r>
  <r>
    <s v="L1002"/>
    <x v="2"/>
    <x v="1"/>
    <x v="2"/>
    <m/>
    <m/>
    <m/>
    <s v="Yes"/>
    <s v="Other"/>
    <m/>
    <x v="2"/>
    <m/>
    <n v="0"/>
    <n v="0"/>
    <x v="0"/>
  </r>
  <r>
    <s v="L1003"/>
    <x v="0"/>
    <x v="1"/>
    <x v="3"/>
    <m/>
    <m/>
    <m/>
    <s v="Yes"/>
    <s v="Model Unavailable"/>
    <m/>
    <x v="2"/>
    <m/>
    <n v="0"/>
    <n v="0"/>
    <x v="0"/>
  </r>
  <r>
    <s v="L1004"/>
    <x v="1"/>
    <x v="0"/>
    <x v="4"/>
    <d v="2025-10-18T00:00:00"/>
    <d v="2025-10-21T00:00:00"/>
    <d v="2025-10-24T00:00:00"/>
    <s v="No"/>
    <m/>
    <d v="2025-11-12T00:00:00"/>
    <x v="1"/>
    <n v="4"/>
    <n v="3"/>
    <n v="3"/>
    <x v="1"/>
  </r>
  <r>
    <s v="L1005"/>
    <x v="1"/>
    <x v="0"/>
    <x v="5"/>
    <d v="2025-10-31T00:00:00"/>
    <d v="2025-11-04T00:00:00"/>
    <d v="2025-11-07T00:00:00"/>
    <s v="No"/>
    <m/>
    <d v="2025-11-22T00:00:00"/>
    <x v="3"/>
    <n v="4"/>
    <n v="4"/>
    <n v="3"/>
    <x v="2"/>
  </r>
  <r>
    <s v="L1006"/>
    <x v="2"/>
    <x v="2"/>
    <x v="6"/>
    <d v="2025-10-20T00:00:00"/>
    <d v="2025-10-21T00:00:00"/>
    <d v="2025-10-28T00:00:00"/>
    <s v="No"/>
    <m/>
    <d v="2025-11-22T00:00:00"/>
    <x v="4"/>
    <n v="4"/>
    <n v="1"/>
    <n v="7"/>
    <x v="2"/>
  </r>
  <r>
    <s v="L1007"/>
    <x v="3"/>
    <x v="0"/>
    <x v="7"/>
    <d v="2025-10-05T00:00:00"/>
    <d v="2025-10-08T00:00:00"/>
    <d v="2025-10-15T00:00:00"/>
    <s v="Yes"/>
    <s v="Changed Mind"/>
    <m/>
    <x v="2"/>
    <n v="1"/>
    <n v="3"/>
    <n v="7"/>
    <x v="0"/>
  </r>
  <r>
    <s v="L1008"/>
    <x v="0"/>
    <x v="2"/>
    <x v="4"/>
    <d v="2025-10-17T00:00:00"/>
    <d v="2025-10-20T00:00:00"/>
    <d v="2025-10-25T00:00:00"/>
    <s v="No"/>
    <m/>
    <d v="2025-11-05T00:00:00"/>
    <x v="1"/>
    <n v="3"/>
    <n v="3"/>
    <n v="5"/>
    <x v="1"/>
  </r>
  <r>
    <s v="L1009"/>
    <x v="2"/>
    <x v="0"/>
    <x v="8"/>
    <d v="2025-11-04T00:00:00"/>
    <d v="2025-11-05T00:00:00"/>
    <d v="2025-11-10T00:00:00"/>
    <s v="No"/>
    <m/>
    <d v="2025-11-22T00:00:00"/>
    <x v="5"/>
    <n v="4"/>
    <n v="1"/>
    <n v="5"/>
    <x v="0"/>
  </r>
  <r>
    <s v="L1010"/>
    <x v="0"/>
    <x v="1"/>
    <x v="9"/>
    <m/>
    <m/>
    <m/>
    <s v="Yes"/>
    <s v="Other"/>
    <m/>
    <x v="2"/>
    <m/>
    <n v="0"/>
    <n v="0"/>
    <x v="0"/>
  </r>
  <r>
    <s v="L1011"/>
    <x v="1"/>
    <x v="0"/>
    <x v="0"/>
    <d v="2025-10-24T00:00:00"/>
    <d v="2025-10-28T00:00:00"/>
    <d v="2025-10-30T00:00:00"/>
    <s v="No"/>
    <m/>
    <d v="2025-11-10T00:00:00"/>
    <x v="6"/>
    <n v="3"/>
    <n v="4"/>
    <n v="2"/>
    <x v="0"/>
  </r>
  <r>
    <s v="L1012"/>
    <x v="1"/>
    <x v="0"/>
    <x v="10"/>
    <d v="2025-11-01T00:00:00"/>
    <d v="2025-11-06T00:00:00"/>
    <d v="2025-11-13T00:00:00"/>
    <s v="No"/>
    <m/>
    <d v="2025-11-30T00:00:00"/>
    <x v="4"/>
    <n v="3"/>
    <n v="5"/>
    <n v="7"/>
    <x v="2"/>
  </r>
  <r>
    <s v="L1013"/>
    <x v="3"/>
    <x v="0"/>
    <x v="5"/>
    <d v="2025-10-30T00:00:00"/>
    <d v="2025-11-02T00:00:00"/>
    <d v="2025-11-08T00:00:00"/>
    <s v="No"/>
    <m/>
    <d v="2025-12-07T00:00:00"/>
    <x v="0"/>
    <n v="3"/>
    <n v="3"/>
    <n v="6"/>
    <x v="0"/>
  </r>
  <r>
    <s v="L1014"/>
    <x v="1"/>
    <x v="2"/>
    <x v="11"/>
    <d v="2025-10-17T00:00:00"/>
    <d v="2025-10-18T00:00:00"/>
    <d v="2025-10-21T00:00:00"/>
    <s v="Yes"/>
    <s v="Changed Mind"/>
    <m/>
    <x v="2"/>
    <n v="2"/>
    <n v="1"/>
    <n v="3"/>
    <x v="0"/>
  </r>
  <r>
    <s v="L1015"/>
    <x v="1"/>
    <x v="0"/>
    <x v="12"/>
    <d v="2025-10-27T00:00:00"/>
    <d v="2025-11-01T00:00:00"/>
    <d v="2025-11-06T00:00:00"/>
    <s v="No"/>
    <m/>
    <d v="2025-11-23T00:00:00"/>
    <x v="1"/>
    <n v="4"/>
    <n v="5"/>
    <n v="5"/>
    <x v="1"/>
  </r>
  <r>
    <s v="L1016"/>
    <x v="2"/>
    <x v="2"/>
    <x v="13"/>
    <d v="2025-10-06T00:00:00"/>
    <d v="2025-10-10T00:00:00"/>
    <d v="2025-10-16T00:00:00"/>
    <s v="No"/>
    <m/>
    <d v="2025-10-26T00:00:00"/>
    <x v="0"/>
    <n v="1"/>
    <n v="4"/>
    <n v="6"/>
    <x v="0"/>
  </r>
  <r>
    <s v="L1017"/>
    <x v="0"/>
    <x v="2"/>
    <x v="4"/>
    <d v="2025-10-15T00:00:00"/>
    <d v="2025-10-18T00:00:00"/>
    <d v="2025-10-23T00:00:00"/>
    <s v="No"/>
    <m/>
    <d v="2025-11-18T00:00:00"/>
    <x v="6"/>
    <n v="1"/>
    <n v="3"/>
    <n v="5"/>
    <x v="0"/>
  </r>
  <r>
    <s v="L1018"/>
    <x v="0"/>
    <x v="0"/>
    <x v="14"/>
    <d v="2025-10-07T00:00:00"/>
    <d v="2025-10-12T00:00:00"/>
    <d v="2025-10-17T00:00:00"/>
    <s v="No"/>
    <m/>
    <d v="2025-11-11T00:00:00"/>
    <x v="7"/>
    <n v="1"/>
    <n v="5"/>
    <n v="5"/>
    <x v="0"/>
  </r>
  <r>
    <s v="L1019"/>
    <x v="2"/>
    <x v="0"/>
    <x v="15"/>
    <d v="2025-10-25T00:00:00"/>
    <d v="2025-10-30T00:00:00"/>
    <d v="2025-11-01T00:00:00"/>
    <s v="No"/>
    <m/>
    <d v="2025-11-11T00:00:00"/>
    <x v="8"/>
    <n v="1"/>
    <n v="5"/>
    <n v="2"/>
    <x v="0"/>
  </r>
  <r>
    <s v="L1020"/>
    <x v="3"/>
    <x v="0"/>
    <x v="16"/>
    <d v="2025-10-21T00:00:00"/>
    <d v="2025-10-23T00:00:00"/>
    <d v="2025-10-30T00:00:00"/>
    <s v="No"/>
    <m/>
    <d v="2025-11-19T00:00:00"/>
    <x v="5"/>
    <n v="4"/>
    <n v="2"/>
    <n v="7"/>
    <x v="0"/>
  </r>
  <r>
    <s v="L1021"/>
    <x v="0"/>
    <x v="2"/>
    <x v="8"/>
    <d v="2025-11-01T00:00:00"/>
    <d v="2025-11-02T00:00:00"/>
    <d v="2025-11-05T00:00:00"/>
    <s v="No"/>
    <m/>
    <d v="2025-12-04T00:00:00"/>
    <x v="9"/>
    <n v="1"/>
    <n v="1"/>
    <n v="3"/>
    <x v="0"/>
  </r>
  <r>
    <s v="L1022"/>
    <x v="1"/>
    <x v="0"/>
    <x v="0"/>
    <d v="2025-10-24T00:00:00"/>
    <d v="2025-10-29T00:00:00"/>
    <d v="2025-11-01T00:00:00"/>
    <s v="No"/>
    <m/>
    <d v="2025-11-17T00:00:00"/>
    <x v="1"/>
    <n v="3"/>
    <n v="5"/>
    <n v="3"/>
    <x v="1"/>
  </r>
  <r>
    <s v="L1023"/>
    <x v="0"/>
    <x v="0"/>
    <x v="17"/>
    <d v="2025-10-11T00:00:00"/>
    <d v="2025-10-15T00:00:00"/>
    <d v="2025-10-19T00:00:00"/>
    <s v="No"/>
    <m/>
    <d v="2025-11-02T00:00:00"/>
    <x v="9"/>
    <n v="2"/>
    <n v="4"/>
    <n v="4"/>
    <x v="0"/>
  </r>
  <r>
    <s v="L1024"/>
    <x v="1"/>
    <x v="0"/>
    <x v="18"/>
    <d v="2025-10-25T00:00:00"/>
    <d v="2025-10-27T00:00:00"/>
    <d v="2025-11-03T00:00:00"/>
    <s v="No"/>
    <m/>
    <d v="2025-11-23T00:00:00"/>
    <x v="10"/>
    <n v="5"/>
    <n v="2"/>
    <n v="7"/>
    <x v="0"/>
  </r>
  <r>
    <s v="L1025"/>
    <x v="3"/>
    <x v="0"/>
    <x v="19"/>
    <d v="2025-10-27T00:00:00"/>
    <d v="2025-11-01T00:00:00"/>
    <d v="2025-11-03T00:00:00"/>
    <s v="No"/>
    <m/>
    <d v="2025-11-18T00:00:00"/>
    <x v="8"/>
    <n v="1"/>
    <n v="5"/>
    <n v="2"/>
    <x v="0"/>
  </r>
  <r>
    <s v="L1026"/>
    <x v="2"/>
    <x v="0"/>
    <x v="20"/>
    <d v="2025-11-04T00:00:00"/>
    <d v="2025-11-09T00:00:00"/>
    <d v="2025-11-15T00:00:00"/>
    <s v="No"/>
    <m/>
    <d v="2025-12-05T00:00:00"/>
    <x v="10"/>
    <n v="5"/>
    <n v="5"/>
    <n v="6"/>
    <x v="0"/>
  </r>
  <r>
    <s v="L1027"/>
    <x v="0"/>
    <x v="0"/>
    <x v="21"/>
    <d v="2025-10-23T00:00:00"/>
    <d v="2025-10-27T00:00:00"/>
    <d v="2025-10-29T00:00:00"/>
    <s v="No"/>
    <m/>
    <d v="2025-11-09T00:00:00"/>
    <x v="9"/>
    <n v="5"/>
    <n v="4"/>
    <n v="2"/>
    <x v="0"/>
  </r>
  <r>
    <s v="L1028"/>
    <x v="2"/>
    <x v="0"/>
    <x v="22"/>
    <d v="2025-10-30T00:00:00"/>
    <d v="2025-11-01T00:00:00"/>
    <d v="2025-11-07T00:00:00"/>
    <s v="No"/>
    <m/>
    <d v="2025-11-17T00:00:00"/>
    <x v="9"/>
    <n v="5"/>
    <n v="2"/>
    <n v="6"/>
    <x v="0"/>
  </r>
  <r>
    <s v="L1029"/>
    <x v="0"/>
    <x v="1"/>
    <x v="6"/>
    <m/>
    <m/>
    <m/>
    <s v="Yes"/>
    <s v="Changed Mind"/>
    <m/>
    <x v="2"/>
    <m/>
    <n v="0"/>
    <n v="0"/>
    <x v="0"/>
  </r>
  <r>
    <s v="L1030"/>
    <x v="1"/>
    <x v="0"/>
    <x v="11"/>
    <d v="2025-10-18T00:00:00"/>
    <d v="2025-10-20T00:00:00"/>
    <d v="2025-10-23T00:00:00"/>
    <s v="No"/>
    <m/>
    <d v="2025-11-06T00:00:00"/>
    <x v="9"/>
    <n v="3"/>
    <n v="2"/>
    <n v="3"/>
    <x v="0"/>
  </r>
  <r>
    <s v="L1031"/>
    <x v="2"/>
    <x v="0"/>
    <x v="4"/>
    <d v="2025-10-15T00:00:00"/>
    <d v="2025-10-16T00:00:00"/>
    <d v="2025-10-20T00:00:00"/>
    <s v="No"/>
    <m/>
    <d v="2025-11-17T00:00:00"/>
    <x v="7"/>
    <n v="1"/>
    <n v="1"/>
    <n v="4"/>
    <x v="0"/>
  </r>
  <r>
    <s v="L1032"/>
    <x v="0"/>
    <x v="0"/>
    <x v="5"/>
    <d v="2025-10-31T00:00:00"/>
    <d v="2025-11-05T00:00:00"/>
    <d v="2025-11-09T00:00:00"/>
    <s v="No"/>
    <m/>
    <d v="2025-11-23T00:00:00"/>
    <x v="9"/>
    <n v="4"/>
    <n v="5"/>
    <n v="4"/>
    <x v="0"/>
  </r>
  <r>
    <s v="L1033"/>
    <x v="1"/>
    <x v="0"/>
    <x v="15"/>
    <d v="2025-10-27T00:00:00"/>
    <d v="2025-10-28T00:00:00"/>
    <d v="2025-10-31T00:00:00"/>
    <s v="No"/>
    <m/>
    <d v="2025-11-13T00:00:00"/>
    <x v="9"/>
    <n v="3"/>
    <n v="1"/>
    <n v="3"/>
    <x v="0"/>
  </r>
  <r>
    <s v="L1034"/>
    <x v="2"/>
    <x v="1"/>
    <x v="23"/>
    <m/>
    <m/>
    <m/>
    <s v="Yes"/>
    <s v="Model Unavailable"/>
    <m/>
    <x v="2"/>
    <m/>
    <n v="0"/>
    <n v="0"/>
    <x v="0"/>
  </r>
  <r>
    <s v="L1035"/>
    <x v="2"/>
    <x v="0"/>
    <x v="17"/>
    <d v="2025-10-13T00:00:00"/>
    <d v="2025-10-15T00:00:00"/>
    <d v="2025-10-20T00:00:00"/>
    <s v="No"/>
    <m/>
    <d v="2025-11-15T00:00:00"/>
    <x v="3"/>
    <n v="4"/>
    <n v="2"/>
    <n v="5"/>
    <x v="2"/>
  </r>
  <r>
    <s v="L1036"/>
    <x v="0"/>
    <x v="0"/>
    <x v="1"/>
    <d v="2025-10-12T00:00:00"/>
    <d v="2025-10-13T00:00:00"/>
    <d v="2025-10-15T00:00:00"/>
    <s v="Yes"/>
    <s v="Financing Issue"/>
    <m/>
    <x v="2"/>
    <n v="1"/>
    <n v="1"/>
    <n v="2"/>
    <x v="0"/>
  </r>
  <r>
    <s v="L1037"/>
    <x v="0"/>
    <x v="0"/>
    <x v="3"/>
    <d v="2025-10-31T00:00:00"/>
    <d v="2025-11-04T00:00:00"/>
    <d v="2025-11-08T00:00:00"/>
    <s v="No"/>
    <m/>
    <d v="2025-11-29T00:00:00"/>
    <x v="0"/>
    <n v="3"/>
    <n v="4"/>
    <n v="4"/>
    <x v="0"/>
  </r>
  <r>
    <s v="L1038"/>
    <x v="0"/>
    <x v="0"/>
    <x v="24"/>
    <d v="2025-10-13T00:00:00"/>
    <d v="2025-10-16T00:00:00"/>
    <d v="2025-10-23T00:00:00"/>
    <s v="No"/>
    <m/>
    <d v="2025-11-04T00:00:00"/>
    <x v="3"/>
    <n v="5"/>
    <n v="3"/>
    <n v="7"/>
    <x v="2"/>
  </r>
  <r>
    <s v="L1039"/>
    <x v="1"/>
    <x v="0"/>
    <x v="5"/>
    <d v="2025-10-30T00:00:00"/>
    <d v="2025-11-03T00:00:00"/>
    <d v="2025-11-08T00:00:00"/>
    <s v="Yes"/>
    <s v="Other"/>
    <m/>
    <x v="2"/>
    <n v="3"/>
    <n v="4"/>
    <n v="5"/>
    <x v="0"/>
  </r>
  <r>
    <s v="L1040"/>
    <x v="0"/>
    <x v="1"/>
    <x v="20"/>
    <m/>
    <m/>
    <m/>
    <s v="Yes"/>
    <s v="Model Unavailable"/>
    <m/>
    <x v="2"/>
    <m/>
    <n v="0"/>
    <n v="0"/>
    <x v="0"/>
  </r>
  <r>
    <s v="L1041"/>
    <x v="2"/>
    <x v="0"/>
    <x v="25"/>
    <d v="2025-10-06T00:00:00"/>
    <d v="2025-10-08T00:00:00"/>
    <d v="2025-10-14T00:00:00"/>
    <s v="No"/>
    <m/>
    <d v="2025-11-04T00:00:00"/>
    <x v="5"/>
    <n v="3"/>
    <n v="2"/>
    <n v="6"/>
    <x v="0"/>
  </r>
  <r>
    <s v="L1042"/>
    <x v="2"/>
    <x v="0"/>
    <x v="17"/>
    <d v="2025-10-10T00:00:00"/>
    <d v="2025-10-14T00:00:00"/>
    <d v="2025-10-21T00:00:00"/>
    <s v="No"/>
    <m/>
    <d v="2025-11-12T00:00:00"/>
    <x v="11"/>
    <n v="1"/>
    <n v="4"/>
    <n v="7"/>
    <x v="1"/>
  </r>
  <r>
    <s v="L1043"/>
    <x v="0"/>
    <x v="1"/>
    <x v="10"/>
    <m/>
    <m/>
    <m/>
    <s v="Yes"/>
    <s v="Changed Mind"/>
    <m/>
    <x v="2"/>
    <m/>
    <n v="0"/>
    <n v="0"/>
    <x v="0"/>
  </r>
  <r>
    <s v="L1044"/>
    <x v="0"/>
    <x v="2"/>
    <x v="11"/>
    <d v="2025-10-20T00:00:00"/>
    <d v="2025-10-22T00:00:00"/>
    <d v="2025-10-26T00:00:00"/>
    <s v="No"/>
    <m/>
    <d v="2025-11-23T00:00:00"/>
    <x v="1"/>
    <n v="5"/>
    <n v="2"/>
    <n v="4"/>
    <x v="1"/>
  </r>
  <r>
    <s v="L1045"/>
    <x v="3"/>
    <x v="2"/>
    <x v="24"/>
    <d v="2025-10-13T00:00:00"/>
    <d v="2025-10-17T00:00:00"/>
    <d v="2025-10-23T00:00:00"/>
    <s v="No"/>
    <m/>
    <d v="2025-11-05T00:00:00"/>
    <x v="9"/>
    <n v="5"/>
    <n v="4"/>
    <n v="6"/>
    <x v="0"/>
  </r>
  <r>
    <s v="L1046"/>
    <x v="2"/>
    <x v="0"/>
    <x v="22"/>
    <d v="2025-10-27T00:00:00"/>
    <d v="2025-11-01T00:00:00"/>
    <d v="2025-11-06T00:00:00"/>
    <s v="No"/>
    <m/>
    <d v="2025-11-26T00:00:00"/>
    <x v="7"/>
    <n v="2"/>
    <n v="5"/>
    <n v="5"/>
    <x v="0"/>
  </r>
  <r>
    <s v="L1047"/>
    <x v="1"/>
    <x v="1"/>
    <x v="11"/>
    <m/>
    <m/>
    <m/>
    <s v="Yes"/>
    <s v="Model Unavailable"/>
    <m/>
    <x v="2"/>
    <m/>
    <n v="0"/>
    <n v="0"/>
    <x v="0"/>
  </r>
  <r>
    <s v="L1048"/>
    <x v="3"/>
    <x v="2"/>
    <x v="23"/>
    <d v="2025-10-21T00:00:00"/>
    <d v="2025-10-26T00:00:00"/>
    <d v="2025-11-01T00:00:00"/>
    <s v="No"/>
    <m/>
    <d v="2025-11-20T00:00:00"/>
    <x v="6"/>
    <n v="2"/>
    <n v="5"/>
    <n v="6"/>
    <x v="0"/>
  </r>
  <r>
    <s v="L1049"/>
    <x v="0"/>
    <x v="2"/>
    <x v="18"/>
    <d v="2025-10-24T00:00:00"/>
    <d v="2025-10-28T00:00:00"/>
    <d v="2025-11-02T00:00:00"/>
    <s v="No"/>
    <m/>
    <d v="2025-11-22T00:00:00"/>
    <x v="5"/>
    <n v="4"/>
    <n v="4"/>
    <n v="5"/>
    <x v="0"/>
  </r>
  <r>
    <s v="L1050"/>
    <x v="0"/>
    <x v="2"/>
    <x v="26"/>
    <d v="2025-10-24T00:00:00"/>
    <d v="2025-10-25T00:00:00"/>
    <d v="2025-10-31T00:00:00"/>
    <s v="No"/>
    <m/>
    <d v="2025-11-14T00:00:00"/>
    <x v="5"/>
    <n v="2"/>
    <n v="1"/>
    <n v="6"/>
    <x v="0"/>
  </r>
  <r>
    <s v="L1051"/>
    <x v="2"/>
    <x v="2"/>
    <x v="27"/>
    <d v="2025-10-14T00:00:00"/>
    <d v="2025-10-16T00:00:00"/>
    <d v="2025-10-18T00:00:00"/>
    <s v="No"/>
    <m/>
    <d v="2025-11-02T00:00:00"/>
    <x v="5"/>
    <n v="1"/>
    <n v="2"/>
    <n v="2"/>
    <x v="0"/>
  </r>
  <r>
    <s v="L1052"/>
    <x v="0"/>
    <x v="2"/>
    <x v="1"/>
    <d v="2025-10-14T00:00:00"/>
    <d v="2025-10-19T00:00:00"/>
    <d v="2025-10-23T00:00:00"/>
    <s v="No"/>
    <m/>
    <d v="2025-11-15T00:00:00"/>
    <x v="8"/>
    <n v="3"/>
    <n v="5"/>
    <n v="4"/>
    <x v="0"/>
  </r>
  <r>
    <s v="L1053"/>
    <x v="1"/>
    <x v="0"/>
    <x v="2"/>
    <d v="2025-10-06T00:00:00"/>
    <d v="2025-10-08T00:00:00"/>
    <d v="2025-10-12T00:00:00"/>
    <s v="No"/>
    <m/>
    <d v="2025-11-11T00:00:00"/>
    <x v="8"/>
    <n v="5"/>
    <n v="2"/>
    <n v="4"/>
    <x v="0"/>
  </r>
  <r>
    <s v="L1054"/>
    <x v="2"/>
    <x v="0"/>
    <x v="6"/>
    <d v="2025-10-19T00:00:00"/>
    <d v="2025-10-24T00:00:00"/>
    <d v="2025-10-29T00:00:00"/>
    <s v="No"/>
    <m/>
    <d v="2025-11-23T00:00:00"/>
    <x v="1"/>
    <n v="3"/>
    <n v="5"/>
    <n v="5"/>
    <x v="1"/>
  </r>
  <r>
    <s v="L1055"/>
    <x v="0"/>
    <x v="2"/>
    <x v="3"/>
    <d v="2025-10-29T00:00:00"/>
    <d v="2025-11-01T00:00:00"/>
    <d v="2025-11-07T00:00:00"/>
    <s v="No"/>
    <m/>
    <d v="2025-12-07T00:00:00"/>
    <x v="9"/>
    <n v="1"/>
    <n v="3"/>
    <n v="6"/>
    <x v="0"/>
  </r>
  <r>
    <s v="L1056"/>
    <x v="2"/>
    <x v="0"/>
    <x v="1"/>
    <d v="2025-10-14T00:00:00"/>
    <d v="2025-10-18T00:00:00"/>
    <d v="2025-10-21T00:00:00"/>
    <s v="No"/>
    <m/>
    <d v="2025-11-10T00:00:00"/>
    <x v="5"/>
    <n v="3"/>
    <n v="4"/>
    <n v="3"/>
    <x v="0"/>
  </r>
  <r>
    <s v="L1057"/>
    <x v="0"/>
    <x v="2"/>
    <x v="14"/>
    <d v="2025-10-11T00:00:00"/>
    <d v="2025-10-16T00:00:00"/>
    <d v="2025-10-23T00:00:00"/>
    <s v="No"/>
    <m/>
    <d v="2025-11-07T00:00:00"/>
    <x v="10"/>
    <n v="5"/>
    <n v="5"/>
    <n v="7"/>
    <x v="0"/>
  </r>
  <r>
    <s v="L1058"/>
    <x v="0"/>
    <x v="0"/>
    <x v="6"/>
    <d v="2025-10-18T00:00:00"/>
    <d v="2025-10-22T00:00:00"/>
    <d v="2025-10-29T00:00:00"/>
    <s v="Yes"/>
    <s v="Financing Issue"/>
    <m/>
    <x v="2"/>
    <n v="2"/>
    <n v="4"/>
    <n v="7"/>
    <x v="0"/>
  </r>
  <r>
    <s v="L1059"/>
    <x v="0"/>
    <x v="0"/>
    <x v="28"/>
    <d v="2025-10-11T00:00:00"/>
    <d v="2025-10-14T00:00:00"/>
    <d v="2025-10-18T00:00:00"/>
    <s v="No"/>
    <m/>
    <d v="2025-11-14T00:00:00"/>
    <x v="0"/>
    <n v="4"/>
    <n v="3"/>
    <n v="4"/>
    <x v="0"/>
  </r>
  <r>
    <s v="L1060"/>
    <x v="1"/>
    <x v="0"/>
    <x v="9"/>
    <d v="2025-10-17T00:00:00"/>
    <d v="2025-10-19T00:00:00"/>
    <d v="2025-10-25T00:00:00"/>
    <s v="No"/>
    <m/>
    <d v="2025-11-23T00:00:00"/>
    <x v="11"/>
    <n v="5"/>
    <n v="2"/>
    <n v="6"/>
    <x v="1"/>
  </r>
  <r>
    <s v="L1061"/>
    <x v="1"/>
    <x v="2"/>
    <x v="19"/>
    <d v="2025-10-31T00:00:00"/>
    <d v="2025-11-04T00:00:00"/>
    <d v="2025-11-10T00:00:00"/>
    <s v="No"/>
    <m/>
    <d v="2025-12-01T00:00:00"/>
    <x v="3"/>
    <n v="5"/>
    <n v="4"/>
    <n v="6"/>
    <x v="2"/>
  </r>
  <r>
    <s v="L1062"/>
    <x v="2"/>
    <x v="0"/>
    <x v="17"/>
    <d v="2025-10-14T00:00:00"/>
    <d v="2025-10-19T00:00:00"/>
    <d v="2025-10-21T00:00:00"/>
    <s v="No"/>
    <m/>
    <d v="2025-11-07T00:00:00"/>
    <x v="9"/>
    <n v="5"/>
    <n v="5"/>
    <n v="2"/>
    <x v="0"/>
  </r>
  <r>
    <s v="L1063"/>
    <x v="0"/>
    <x v="2"/>
    <x v="1"/>
    <d v="2025-10-16T00:00:00"/>
    <d v="2025-10-19T00:00:00"/>
    <d v="2025-10-26T00:00:00"/>
    <s v="No"/>
    <m/>
    <d v="2025-11-23T00:00:00"/>
    <x v="9"/>
    <n v="5"/>
    <n v="3"/>
    <n v="7"/>
    <x v="0"/>
  </r>
  <r>
    <s v="L1064"/>
    <x v="0"/>
    <x v="1"/>
    <x v="17"/>
    <m/>
    <m/>
    <m/>
    <s v="Yes"/>
    <s v="Other"/>
    <m/>
    <x v="2"/>
    <m/>
    <n v="0"/>
    <n v="0"/>
    <x v="0"/>
  </r>
  <r>
    <s v="L1065"/>
    <x v="1"/>
    <x v="0"/>
    <x v="10"/>
    <d v="2025-10-30T00:00:00"/>
    <d v="2025-11-04T00:00:00"/>
    <d v="2025-11-07T00:00:00"/>
    <s v="No"/>
    <m/>
    <d v="2025-11-22T00:00:00"/>
    <x v="4"/>
    <n v="1"/>
    <n v="5"/>
    <n v="3"/>
    <x v="2"/>
  </r>
  <r>
    <s v="L1066"/>
    <x v="0"/>
    <x v="0"/>
    <x v="18"/>
    <d v="2025-10-25T00:00:00"/>
    <d v="2025-10-28T00:00:00"/>
    <d v="2025-11-01T00:00:00"/>
    <s v="No"/>
    <m/>
    <d v="2025-11-23T00:00:00"/>
    <x v="8"/>
    <n v="5"/>
    <n v="3"/>
    <n v="4"/>
    <x v="0"/>
  </r>
  <r>
    <s v="L1067"/>
    <x v="1"/>
    <x v="2"/>
    <x v="12"/>
    <d v="2025-10-26T00:00:00"/>
    <d v="2025-10-29T00:00:00"/>
    <d v="2025-10-31T00:00:00"/>
    <s v="No"/>
    <m/>
    <d v="2025-11-19T00:00:00"/>
    <x v="7"/>
    <n v="3"/>
    <n v="3"/>
    <n v="2"/>
    <x v="0"/>
  </r>
  <r>
    <s v="L1068"/>
    <x v="0"/>
    <x v="1"/>
    <x v="10"/>
    <m/>
    <m/>
    <m/>
    <s v="Yes"/>
    <s v="Financing Issue"/>
    <m/>
    <x v="2"/>
    <m/>
    <n v="0"/>
    <n v="0"/>
    <x v="0"/>
  </r>
  <r>
    <s v="L1069"/>
    <x v="2"/>
    <x v="2"/>
    <x v="17"/>
    <d v="2025-10-10T00:00:00"/>
    <d v="2025-10-15T00:00:00"/>
    <d v="2025-10-18T00:00:00"/>
    <s v="No"/>
    <m/>
    <d v="2025-11-06T00:00:00"/>
    <x v="10"/>
    <n v="1"/>
    <n v="5"/>
    <n v="3"/>
    <x v="0"/>
  </r>
  <r>
    <s v="L1070"/>
    <x v="0"/>
    <x v="2"/>
    <x v="21"/>
    <d v="2025-10-20T00:00:00"/>
    <d v="2025-10-24T00:00:00"/>
    <d v="2025-10-28T00:00:00"/>
    <s v="No"/>
    <m/>
    <d v="2025-11-11T00:00:00"/>
    <x v="4"/>
    <n v="2"/>
    <n v="4"/>
    <n v="4"/>
    <x v="2"/>
  </r>
  <r>
    <s v="L1071"/>
    <x v="0"/>
    <x v="0"/>
    <x v="2"/>
    <d v="2025-10-04T00:00:00"/>
    <d v="2025-10-06T00:00:00"/>
    <d v="2025-10-08T00:00:00"/>
    <s v="No"/>
    <m/>
    <d v="2025-10-23T00:00:00"/>
    <x v="11"/>
    <n v="3"/>
    <n v="2"/>
    <n v="2"/>
    <x v="1"/>
  </r>
  <r>
    <s v="L1072"/>
    <x v="3"/>
    <x v="2"/>
    <x v="16"/>
    <d v="2025-10-20T00:00:00"/>
    <d v="2025-10-22T00:00:00"/>
    <d v="2025-10-25T00:00:00"/>
    <s v="No"/>
    <m/>
    <d v="2025-11-04T00:00:00"/>
    <x v="5"/>
    <n v="3"/>
    <n v="2"/>
    <n v="3"/>
    <x v="0"/>
  </r>
  <r>
    <s v="L1073"/>
    <x v="1"/>
    <x v="1"/>
    <x v="8"/>
    <m/>
    <m/>
    <m/>
    <s v="Yes"/>
    <s v="Price"/>
    <m/>
    <x v="2"/>
    <m/>
    <n v="0"/>
    <n v="0"/>
    <x v="0"/>
  </r>
  <r>
    <s v="L1074"/>
    <x v="0"/>
    <x v="0"/>
    <x v="28"/>
    <d v="2025-10-10T00:00:00"/>
    <d v="2025-10-13T00:00:00"/>
    <d v="2025-10-17T00:00:00"/>
    <s v="No"/>
    <m/>
    <d v="2025-11-14T00:00:00"/>
    <x v="6"/>
    <n v="3"/>
    <n v="3"/>
    <n v="4"/>
    <x v="0"/>
  </r>
  <r>
    <s v="L1075"/>
    <x v="0"/>
    <x v="2"/>
    <x v="25"/>
    <d v="2025-10-06T00:00:00"/>
    <d v="2025-10-11T00:00:00"/>
    <d v="2025-10-18T00:00:00"/>
    <s v="No"/>
    <m/>
    <d v="2025-11-09T00:00:00"/>
    <x v="10"/>
    <n v="3"/>
    <n v="5"/>
    <n v="7"/>
    <x v="0"/>
  </r>
  <r>
    <s v="L1076"/>
    <x v="3"/>
    <x v="0"/>
    <x v="24"/>
    <d v="2025-10-09T00:00:00"/>
    <d v="2025-10-12T00:00:00"/>
    <d v="2025-10-15T00:00:00"/>
    <s v="No"/>
    <m/>
    <d v="2025-11-12T00:00:00"/>
    <x v="1"/>
    <n v="1"/>
    <n v="3"/>
    <n v="3"/>
    <x v="1"/>
  </r>
  <r>
    <s v="L1077"/>
    <x v="3"/>
    <x v="1"/>
    <x v="15"/>
    <m/>
    <m/>
    <m/>
    <s v="Yes"/>
    <s v="Other"/>
    <m/>
    <x v="2"/>
    <m/>
    <n v="0"/>
    <n v="0"/>
    <x v="0"/>
  </r>
  <r>
    <s v="L1078"/>
    <x v="1"/>
    <x v="1"/>
    <x v="4"/>
    <m/>
    <m/>
    <m/>
    <s v="Yes"/>
    <s v="Financing Issue"/>
    <m/>
    <x v="2"/>
    <m/>
    <n v="0"/>
    <n v="0"/>
    <x v="0"/>
  </r>
  <r>
    <s v="L1079"/>
    <x v="3"/>
    <x v="0"/>
    <x v="6"/>
    <d v="2025-10-18T00:00:00"/>
    <d v="2025-10-20T00:00:00"/>
    <d v="2025-10-26T00:00:00"/>
    <s v="Yes"/>
    <s v="Changed Mind"/>
    <m/>
    <x v="2"/>
    <n v="2"/>
    <n v="2"/>
    <n v="6"/>
    <x v="0"/>
  </r>
  <r>
    <s v="L1080"/>
    <x v="2"/>
    <x v="1"/>
    <x v="21"/>
    <m/>
    <m/>
    <m/>
    <s v="Yes"/>
    <s v="Other"/>
    <m/>
    <x v="2"/>
    <m/>
    <n v="0"/>
    <n v="0"/>
    <x v="0"/>
  </r>
  <r>
    <s v="L1081"/>
    <x v="3"/>
    <x v="1"/>
    <x v="22"/>
    <m/>
    <m/>
    <m/>
    <s v="Yes"/>
    <s v="Other"/>
    <m/>
    <x v="2"/>
    <m/>
    <n v="0"/>
    <n v="0"/>
    <x v="0"/>
  </r>
  <r>
    <s v="L1082"/>
    <x v="2"/>
    <x v="0"/>
    <x v="24"/>
    <d v="2025-10-10T00:00:00"/>
    <d v="2025-10-13T00:00:00"/>
    <d v="2025-10-18T00:00:00"/>
    <s v="No"/>
    <m/>
    <d v="2025-10-29T00:00:00"/>
    <x v="7"/>
    <n v="2"/>
    <n v="3"/>
    <n v="5"/>
    <x v="0"/>
  </r>
  <r>
    <s v="L1083"/>
    <x v="1"/>
    <x v="2"/>
    <x v="12"/>
    <d v="2025-10-28T00:00:00"/>
    <d v="2025-10-31T00:00:00"/>
    <d v="2025-11-05T00:00:00"/>
    <s v="No"/>
    <m/>
    <d v="2025-11-20T00:00:00"/>
    <x v="7"/>
    <n v="5"/>
    <n v="3"/>
    <n v="5"/>
    <x v="0"/>
  </r>
  <r>
    <s v="L1084"/>
    <x v="1"/>
    <x v="0"/>
    <x v="6"/>
    <d v="2025-10-20T00:00:00"/>
    <d v="2025-10-22T00:00:00"/>
    <d v="2025-10-28T00:00:00"/>
    <s v="No"/>
    <m/>
    <d v="2025-11-26T00:00:00"/>
    <x v="8"/>
    <n v="4"/>
    <n v="2"/>
    <n v="6"/>
    <x v="0"/>
  </r>
  <r>
    <s v="L1085"/>
    <x v="1"/>
    <x v="1"/>
    <x v="0"/>
    <m/>
    <m/>
    <m/>
    <s v="Yes"/>
    <s v="Model Unavailable"/>
    <m/>
    <x v="2"/>
    <m/>
    <n v="0"/>
    <n v="0"/>
    <x v="0"/>
  </r>
  <r>
    <s v="L1086"/>
    <x v="1"/>
    <x v="2"/>
    <x v="12"/>
    <d v="2025-10-24T00:00:00"/>
    <d v="2025-10-28T00:00:00"/>
    <d v="2025-10-31T00:00:00"/>
    <s v="No"/>
    <m/>
    <d v="2025-11-20T00:00:00"/>
    <x v="11"/>
    <n v="1"/>
    <n v="4"/>
    <n v="3"/>
    <x v="1"/>
  </r>
  <r>
    <s v="L1087"/>
    <x v="1"/>
    <x v="1"/>
    <x v="6"/>
    <m/>
    <m/>
    <m/>
    <s v="Yes"/>
    <s v="Changed Mind"/>
    <m/>
    <x v="2"/>
    <m/>
    <n v="0"/>
    <n v="0"/>
    <x v="0"/>
  </r>
  <r>
    <s v="L1088"/>
    <x v="2"/>
    <x v="2"/>
    <x v="11"/>
    <d v="2025-10-17T00:00:00"/>
    <d v="2025-10-20T00:00:00"/>
    <d v="2025-10-26T00:00:00"/>
    <s v="No"/>
    <m/>
    <d v="2025-11-24T00:00:00"/>
    <x v="7"/>
    <n v="2"/>
    <n v="3"/>
    <n v="6"/>
    <x v="0"/>
  </r>
  <r>
    <s v="L1089"/>
    <x v="2"/>
    <x v="2"/>
    <x v="19"/>
    <d v="2025-10-27T00:00:00"/>
    <d v="2025-10-31T00:00:00"/>
    <d v="2025-11-05T00:00:00"/>
    <s v="No"/>
    <m/>
    <d v="2025-11-22T00:00:00"/>
    <x v="1"/>
    <n v="1"/>
    <n v="4"/>
    <n v="5"/>
    <x v="1"/>
  </r>
  <r>
    <s v="L1090"/>
    <x v="1"/>
    <x v="0"/>
    <x v="2"/>
    <d v="2025-10-02T00:00:00"/>
    <d v="2025-10-05T00:00:00"/>
    <d v="2025-10-10T00:00:00"/>
    <s v="No"/>
    <m/>
    <d v="2025-11-09T00:00:00"/>
    <x v="6"/>
    <n v="1"/>
    <n v="3"/>
    <n v="5"/>
    <x v="0"/>
  </r>
  <r>
    <s v="L1091"/>
    <x v="3"/>
    <x v="2"/>
    <x v="25"/>
    <d v="2025-10-08T00:00:00"/>
    <d v="2025-10-13T00:00:00"/>
    <d v="2025-10-16T00:00:00"/>
    <s v="No"/>
    <m/>
    <d v="2025-11-13T00:00:00"/>
    <x v="3"/>
    <n v="5"/>
    <n v="5"/>
    <n v="3"/>
    <x v="2"/>
  </r>
  <r>
    <s v="L1092"/>
    <x v="0"/>
    <x v="1"/>
    <x v="29"/>
    <m/>
    <m/>
    <m/>
    <s v="Yes"/>
    <s v="Price"/>
    <m/>
    <x v="2"/>
    <m/>
    <n v="0"/>
    <n v="0"/>
    <x v="0"/>
  </r>
  <r>
    <s v="L1093"/>
    <x v="1"/>
    <x v="1"/>
    <x v="24"/>
    <m/>
    <m/>
    <m/>
    <s v="Yes"/>
    <s v="Financing Issue"/>
    <m/>
    <x v="2"/>
    <m/>
    <n v="0"/>
    <n v="0"/>
    <x v="0"/>
  </r>
  <r>
    <s v="L1094"/>
    <x v="3"/>
    <x v="1"/>
    <x v="27"/>
    <m/>
    <m/>
    <m/>
    <s v="Yes"/>
    <s v="Model Unavailable"/>
    <m/>
    <x v="2"/>
    <m/>
    <n v="0"/>
    <n v="0"/>
    <x v="0"/>
  </r>
  <r>
    <s v="L1095"/>
    <x v="0"/>
    <x v="0"/>
    <x v="12"/>
    <d v="2025-10-25T00:00:00"/>
    <d v="2025-10-28T00:00:00"/>
    <d v="2025-11-02T00:00:00"/>
    <s v="No"/>
    <m/>
    <d v="2025-11-15T00:00:00"/>
    <x v="3"/>
    <n v="2"/>
    <n v="3"/>
    <n v="5"/>
    <x v="2"/>
  </r>
  <r>
    <s v="L1096"/>
    <x v="1"/>
    <x v="2"/>
    <x v="24"/>
    <d v="2025-10-12T00:00:00"/>
    <d v="2025-10-15T00:00:00"/>
    <d v="2025-10-22T00:00:00"/>
    <s v="Yes"/>
    <s v="Financing Issue"/>
    <m/>
    <x v="2"/>
    <n v="4"/>
    <n v="3"/>
    <n v="7"/>
    <x v="0"/>
  </r>
  <r>
    <s v="L1097"/>
    <x v="1"/>
    <x v="0"/>
    <x v="29"/>
    <d v="2025-10-14T00:00:00"/>
    <d v="2025-10-15T00:00:00"/>
    <d v="2025-10-21T00:00:00"/>
    <s v="No"/>
    <m/>
    <d v="2025-11-15T00:00:00"/>
    <x v="5"/>
    <n v="4"/>
    <n v="1"/>
    <n v="6"/>
    <x v="0"/>
  </r>
  <r>
    <s v="L1098"/>
    <x v="2"/>
    <x v="0"/>
    <x v="26"/>
    <d v="2025-10-26T00:00:00"/>
    <d v="2025-10-31T00:00:00"/>
    <d v="2025-11-07T00:00:00"/>
    <s v="No"/>
    <m/>
    <d v="2025-11-21T00:00:00"/>
    <x v="6"/>
    <n v="4"/>
    <n v="5"/>
    <n v="7"/>
    <x v="0"/>
  </r>
  <r>
    <s v="L1099"/>
    <x v="0"/>
    <x v="0"/>
    <x v="23"/>
    <d v="2025-10-22T00:00:00"/>
    <d v="2025-10-27T00:00:00"/>
    <d v="2025-11-03T00:00:00"/>
    <s v="No"/>
    <m/>
    <d v="2025-11-23T00:00:00"/>
    <x v="4"/>
    <n v="3"/>
    <n v="5"/>
    <n v="7"/>
    <x v="2"/>
  </r>
  <r>
    <s v="L1100"/>
    <x v="0"/>
    <x v="2"/>
    <x v="9"/>
    <d v="2025-10-14T00:00:00"/>
    <d v="2025-10-18T00:00:00"/>
    <d v="2025-10-21T00:00:00"/>
    <s v="No"/>
    <m/>
    <d v="2025-11-02T00:00:00"/>
    <x v="10"/>
    <n v="2"/>
    <n v="4"/>
    <n v="3"/>
    <x v="0"/>
  </r>
  <r>
    <s v="L1101"/>
    <x v="3"/>
    <x v="0"/>
    <x v="6"/>
    <d v="2025-10-19T00:00:00"/>
    <d v="2025-10-23T00:00:00"/>
    <d v="2025-10-29T00:00:00"/>
    <s v="No"/>
    <m/>
    <d v="2025-11-15T00:00:00"/>
    <x v="10"/>
    <n v="3"/>
    <n v="4"/>
    <n v="6"/>
    <x v="0"/>
  </r>
  <r>
    <s v="L1102"/>
    <x v="2"/>
    <x v="0"/>
    <x v="21"/>
    <d v="2025-10-21T00:00:00"/>
    <d v="2025-10-24T00:00:00"/>
    <d v="2025-10-27T00:00:00"/>
    <s v="No"/>
    <m/>
    <d v="2025-11-17T00:00:00"/>
    <x v="6"/>
    <n v="3"/>
    <n v="3"/>
    <n v="3"/>
    <x v="0"/>
  </r>
  <r>
    <s v="L1103"/>
    <x v="2"/>
    <x v="1"/>
    <x v="16"/>
    <m/>
    <m/>
    <m/>
    <s v="Yes"/>
    <s v="Price"/>
    <m/>
    <x v="2"/>
    <m/>
    <n v="0"/>
    <n v="0"/>
    <x v="0"/>
  </r>
  <r>
    <s v="L1104"/>
    <x v="2"/>
    <x v="1"/>
    <x v="9"/>
    <m/>
    <m/>
    <m/>
    <s v="Yes"/>
    <s v="Price"/>
    <m/>
    <x v="2"/>
    <m/>
    <n v="0"/>
    <n v="0"/>
    <x v="0"/>
  </r>
  <r>
    <s v="L1105"/>
    <x v="2"/>
    <x v="0"/>
    <x v="4"/>
    <d v="2025-10-17T00:00:00"/>
    <d v="2025-10-19T00:00:00"/>
    <d v="2025-10-24T00:00:00"/>
    <s v="No"/>
    <m/>
    <d v="2025-11-13T00:00:00"/>
    <x v="0"/>
    <n v="3"/>
    <n v="2"/>
    <n v="5"/>
    <x v="0"/>
  </r>
  <r>
    <s v="L1106"/>
    <x v="0"/>
    <x v="0"/>
    <x v="15"/>
    <d v="2025-10-29T00:00:00"/>
    <d v="2025-11-01T00:00:00"/>
    <d v="2025-11-05T00:00:00"/>
    <s v="Yes"/>
    <s v="Other"/>
    <m/>
    <x v="2"/>
    <n v="5"/>
    <n v="3"/>
    <n v="4"/>
    <x v="0"/>
  </r>
  <r>
    <s v="L1107"/>
    <x v="0"/>
    <x v="0"/>
    <x v="21"/>
    <d v="2025-10-23T00:00:00"/>
    <d v="2025-10-24T00:00:00"/>
    <d v="2025-10-27T00:00:00"/>
    <s v="No"/>
    <m/>
    <d v="2025-11-11T00:00:00"/>
    <x v="4"/>
    <n v="5"/>
    <n v="1"/>
    <n v="3"/>
    <x v="2"/>
  </r>
  <r>
    <s v="L1108"/>
    <x v="1"/>
    <x v="2"/>
    <x v="1"/>
    <d v="2025-10-12T00:00:00"/>
    <d v="2025-10-15T00:00:00"/>
    <d v="2025-10-18T00:00:00"/>
    <s v="No"/>
    <m/>
    <d v="2025-11-17T00:00:00"/>
    <x v="8"/>
    <n v="1"/>
    <n v="3"/>
    <n v="3"/>
    <x v="0"/>
  </r>
  <r>
    <s v="L1109"/>
    <x v="1"/>
    <x v="1"/>
    <x v="9"/>
    <m/>
    <m/>
    <m/>
    <s v="Yes"/>
    <s v="Price"/>
    <m/>
    <x v="2"/>
    <m/>
    <n v="0"/>
    <n v="0"/>
    <x v="0"/>
  </r>
  <r>
    <s v="L1110"/>
    <x v="2"/>
    <x v="1"/>
    <x v="12"/>
    <m/>
    <m/>
    <m/>
    <s v="Yes"/>
    <s v="Financing Issue"/>
    <m/>
    <x v="2"/>
    <m/>
    <n v="0"/>
    <n v="0"/>
    <x v="0"/>
  </r>
  <r>
    <s v="L1111"/>
    <x v="2"/>
    <x v="0"/>
    <x v="11"/>
    <d v="2025-10-16T00:00:00"/>
    <d v="2025-10-17T00:00:00"/>
    <d v="2025-10-21T00:00:00"/>
    <s v="No"/>
    <m/>
    <d v="2025-11-02T00:00:00"/>
    <x v="0"/>
    <n v="1"/>
    <n v="1"/>
    <n v="4"/>
    <x v="0"/>
  </r>
  <r>
    <s v="L1112"/>
    <x v="2"/>
    <x v="0"/>
    <x v="17"/>
    <d v="2025-10-11T00:00:00"/>
    <d v="2025-10-14T00:00:00"/>
    <d v="2025-10-19T00:00:00"/>
    <s v="Yes"/>
    <s v="Changed Mind"/>
    <m/>
    <x v="2"/>
    <n v="2"/>
    <n v="3"/>
    <n v="5"/>
    <x v="0"/>
  </r>
  <r>
    <s v="L1113"/>
    <x v="1"/>
    <x v="2"/>
    <x v="29"/>
    <d v="2025-10-12T00:00:00"/>
    <d v="2025-10-16T00:00:00"/>
    <d v="2025-10-22T00:00:00"/>
    <s v="No"/>
    <m/>
    <d v="2025-11-21T00:00:00"/>
    <x v="5"/>
    <n v="2"/>
    <n v="4"/>
    <n v="6"/>
    <x v="0"/>
  </r>
  <r>
    <s v="L1114"/>
    <x v="3"/>
    <x v="0"/>
    <x v="17"/>
    <d v="2025-10-14T00:00:00"/>
    <d v="2025-10-17T00:00:00"/>
    <d v="2025-10-19T00:00:00"/>
    <s v="No"/>
    <m/>
    <d v="2025-11-08T00:00:00"/>
    <x v="4"/>
    <n v="5"/>
    <n v="3"/>
    <n v="2"/>
    <x v="2"/>
  </r>
  <r>
    <s v="L1115"/>
    <x v="3"/>
    <x v="2"/>
    <x v="24"/>
    <d v="2025-10-09T00:00:00"/>
    <d v="2025-10-13T00:00:00"/>
    <d v="2025-10-17T00:00:00"/>
    <s v="No"/>
    <m/>
    <d v="2025-11-10T00:00:00"/>
    <x v="1"/>
    <n v="1"/>
    <n v="4"/>
    <n v="4"/>
    <x v="1"/>
  </r>
  <r>
    <s v="L1116"/>
    <x v="1"/>
    <x v="1"/>
    <x v="7"/>
    <m/>
    <m/>
    <m/>
    <s v="Yes"/>
    <s v="Changed Mind"/>
    <m/>
    <x v="2"/>
    <m/>
    <n v="0"/>
    <n v="0"/>
    <x v="0"/>
  </r>
  <r>
    <s v="L1117"/>
    <x v="1"/>
    <x v="2"/>
    <x v="15"/>
    <d v="2025-10-25T00:00:00"/>
    <d v="2025-10-27T00:00:00"/>
    <d v="2025-10-29T00:00:00"/>
    <s v="No"/>
    <m/>
    <d v="2025-11-08T00:00:00"/>
    <x v="10"/>
    <n v="1"/>
    <n v="2"/>
    <n v="2"/>
    <x v="0"/>
  </r>
  <r>
    <s v="L1118"/>
    <x v="1"/>
    <x v="0"/>
    <x v="28"/>
    <d v="2025-10-10T00:00:00"/>
    <d v="2025-10-12T00:00:00"/>
    <d v="2025-10-17T00:00:00"/>
    <s v="No"/>
    <m/>
    <d v="2025-11-04T00:00:00"/>
    <x v="7"/>
    <n v="3"/>
    <n v="2"/>
    <n v="5"/>
    <x v="0"/>
  </r>
  <r>
    <s v="L1119"/>
    <x v="1"/>
    <x v="1"/>
    <x v="1"/>
    <m/>
    <m/>
    <m/>
    <s v="Yes"/>
    <s v="Other"/>
    <m/>
    <x v="2"/>
    <m/>
    <n v="0"/>
    <n v="0"/>
    <x v="0"/>
  </r>
  <r>
    <s v="L1120"/>
    <x v="1"/>
    <x v="0"/>
    <x v="7"/>
    <d v="2025-10-08T00:00:00"/>
    <d v="2025-10-13T00:00:00"/>
    <d v="2025-10-16T00:00:00"/>
    <s v="No"/>
    <m/>
    <d v="2025-11-01T00:00:00"/>
    <x v="10"/>
    <n v="4"/>
    <n v="5"/>
    <n v="3"/>
    <x v="0"/>
  </r>
  <r>
    <s v="L1121"/>
    <x v="1"/>
    <x v="2"/>
    <x v="15"/>
    <d v="2025-10-28T00:00:00"/>
    <d v="2025-10-31T00:00:00"/>
    <d v="2025-11-03T00:00:00"/>
    <s v="No"/>
    <m/>
    <d v="2025-11-20T00:00:00"/>
    <x v="0"/>
    <n v="4"/>
    <n v="3"/>
    <n v="3"/>
    <x v="0"/>
  </r>
  <r>
    <s v="L1122"/>
    <x v="2"/>
    <x v="2"/>
    <x v="21"/>
    <d v="2025-10-22T00:00:00"/>
    <d v="2025-10-27T00:00:00"/>
    <d v="2025-11-01T00:00:00"/>
    <s v="No"/>
    <m/>
    <d v="2025-11-13T00:00:00"/>
    <x v="5"/>
    <n v="4"/>
    <n v="5"/>
    <n v="5"/>
    <x v="0"/>
  </r>
  <r>
    <s v="L1123"/>
    <x v="2"/>
    <x v="2"/>
    <x v="8"/>
    <d v="2025-11-05T00:00:00"/>
    <d v="2025-11-08T00:00:00"/>
    <d v="2025-11-14T00:00:00"/>
    <s v="No"/>
    <m/>
    <d v="2025-12-05T00:00:00"/>
    <x v="7"/>
    <n v="5"/>
    <n v="3"/>
    <n v="6"/>
    <x v="0"/>
  </r>
  <r>
    <s v="L1124"/>
    <x v="2"/>
    <x v="0"/>
    <x v="22"/>
    <d v="2025-10-29T00:00:00"/>
    <d v="2025-10-31T00:00:00"/>
    <d v="2025-11-06T00:00:00"/>
    <s v="No"/>
    <m/>
    <d v="2025-11-24T00:00:00"/>
    <x v="8"/>
    <n v="4"/>
    <n v="2"/>
    <n v="6"/>
    <x v="0"/>
  </r>
  <r>
    <s v="L1125"/>
    <x v="2"/>
    <x v="2"/>
    <x v="12"/>
    <d v="2025-10-27T00:00:00"/>
    <d v="2025-10-28T00:00:00"/>
    <d v="2025-11-04T00:00:00"/>
    <s v="No"/>
    <m/>
    <d v="2025-11-17T00:00:00"/>
    <x v="6"/>
    <n v="4"/>
    <n v="1"/>
    <n v="7"/>
    <x v="0"/>
  </r>
  <r>
    <s v="L1126"/>
    <x v="1"/>
    <x v="0"/>
    <x v="14"/>
    <d v="2025-10-09T00:00:00"/>
    <d v="2025-10-14T00:00:00"/>
    <d v="2025-10-19T00:00:00"/>
    <s v="No"/>
    <m/>
    <d v="2025-10-29T00:00:00"/>
    <x v="8"/>
    <n v="3"/>
    <n v="5"/>
    <n v="5"/>
    <x v="0"/>
  </r>
  <r>
    <s v="L1127"/>
    <x v="3"/>
    <x v="1"/>
    <x v="28"/>
    <m/>
    <m/>
    <m/>
    <s v="Yes"/>
    <s v="Financing Issue"/>
    <m/>
    <x v="2"/>
    <m/>
    <n v="0"/>
    <n v="0"/>
    <x v="0"/>
  </r>
  <r>
    <s v="L1128"/>
    <x v="0"/>
    <x v="2"/>
    <x v="28"/>
    <d v="2025-10-09T00:00:00"/>
    <d v="2025-10-14T00:00:00"/>
    <d v="2025-10-19T00:00:00"/>
    <s v="No"/>
    <m/>
    <d v="2025-10-30T00:00:00"/>
    <x v="8"/>
    <n v="2"/>
    <n v="5"/>
    <n v="5"/>
    <x v="0"/>
  </r>
  <r>
    <s v="L1129"/>
    <x v="1"/>
    <x v="1"/>
    <x v="15"/>
    <m/>
    <m/>
    <m/>
    <s v="Yes"/>
    <s v="Financing Issue"/>
    <m/>
    <x v="2"/>
    <m/>
    <n v="0"/>
    <n v="0"/>
    <x v="0"/>
  </r>
  <r>
    <s v="L1130"/>
    <x v="0"/>
    <x v="1"/>
    <x v="6"/>
    <m/>
    <m/>
    <m/>
    <s v="Yes"/>
    <s v="Price"/>
    <m/>
    <x v="2"/>
    <m/>
    <n v="0"/>
    <n v="0"/>
    <x v="0"/>
  </r>
  <r>
    <s v="L1131"/>
    <x v="3"/>
    <x v="2"/>
    <x v="17"/>
    <d v="2025-10-14T00:00:00"/>
    <d v="2025-10-16T00:00:00"/>
    <d v="2025-10-23T00:00:00"/>
    <s v="No"/>
    <m/>
    <d v="2025-11-14T00:00:00"/>
    <x v="8"/>
    <n v="5"/>
    <n v="2"/>
    <n v="7"/>
    <x v="0"/>
  </r>
  <r>
    <s v="L1132"/>
    <x v="2"/>
    <x v="1"/>
    <x v="15"/>
    <m/>
    <m/>
    <m/>
    <s v="Yes"/>
    <s v="Financing Issue"/>
    <m/>
    <x v="2"/>
    <m/>
    <n v="0"/>
    <n v="0"/>
    <x v="0"/>
  </r>
  <r>
    <s v="L1133"/>
    <x v="3"/>
    <x v="0"/>
    <x v="23"/>
    <d v="2025-10-20T00:00:00"/>
    <d v="2025-10-22T00:00:00"/>
    <d v="2025-10-27T00:00:00"/>
    <s v="No"/>
    <m/>
    <d v="2025-11-20T00:00:00"/>
    <x v="0"/>
    <n v="1"/>
    <n v="2"/>
    <n v="5"/>
    <x v="0"/>
  </r>
  <r>
    <s v="L1134"/>
    <x v="1"/>
    <x v="1"/>
    <x v="22"/>
    <m/>
    <m/>
    <m/>
    <s v="Yes"/>
    <s v="Model Unavailable"/>
    <m/>
    <x v="2"/>
    <m/>
    <n v="0"/>
    <n v="0"/>
    <x v="0"/>
  </r>
  <r>
    <s v="L1135"/>
    <x v="2"/>
    <x v="0"/>
    <x v="16"/>
    <d v="2025-10-20T00:00:00"/>
    <d v="2025-10-21T00:00:00"/>
    <d v="2025-10-26T00:00:00"/>
    <s v="No"/>
    <m/>
    <d v="2025-11-18T00:00:00"/>
    <x v="9"/>
    <n v="3"/>
    <n v="1"/>
    <n v="5"/>
    <x v="0"/>
  </r>
  <r>
    <s v="L1136"/>
    <x v="1"/>
    <x v="0"/>
    <x v="18"/>
    <d v="2025-10-24T00:00:00"/>
    <d v="2025-10-29T00:00:00"/>
    <d v="2025-11-05T00:00:00"/>
    <s v="No"/>
    <m/>
    <d v="2025-11-20T00:00:00"/>
    <x v="6"/>
    <n v="4"/>
    <n v="5"/>
    <n v="7"/>
    <x v="0"/>
  </r>
  <r>
    <s v="L1137"/>
    <x v="2"/>
    <x v="0"/>
    <x v="29"/>
    <d v="2025-10-11T00:00:00"/>
    <d v="2025-10-13T00:00:00"/>
    <d v="2025-10-18T00:00:00"/>
    <s v="Yes"/>
    <s v="Price"/>
    <m/>
    <x v="2"/>
    <n v="1"/>
    <n v="2"/>
    <n v="5"/>
    <x v="0"/>
  </r>
  <r>
    <s v="L1138"/>
    <x v="0"/>
    <x v="1"/>
    <x v="7"/>
    <m/>
    <m/>
    <m/>
    <s v="Yes"/>
    <s v="Model Unavailable"/>
    <m/>
    <x v="2"/>
    <m/>
    <n v="0"/>
    <n v="0"/>
    <x v="0"/>
  </r>
  <r>
    <s v="L1139"/>
    <x v="0"/>
    <x v="0"/>
    <x v="5"/>
    <d v="2025-10-30T00:00:00"/>
    <d v="2025-11-01T00:00:00"/>
    <d v="2025-11-06T00:00:00"/>
    <s v="No"/>
    <m/>
    <d v="2025-11-29T00:00:00"/>
    <x v="7"/>
    <n v="3"/>
    <n v="2"/>
    <n v="5"/>
    <x v="0"/>
  </r>
  <r>
    <s v="L1140"/>
    <x v="0"/>
    <x v="0"/>
    <x v="28"/>
    <d v="2025-10-12T00:00:00"/>
    <d v="2025-10-13T00:00:00"/>
    <d v="2025-10-16T00:00:00"/>
    <s v="No"/>
    <m/>
    <d v="2025-11-10T00:00:00"/>
    <x v="6"/>
    <n v="5"/>
    <n v="1"/>
    <n v="3"/>
    <x v="0"/>
  </r>
  <r>
    <s v="L1141"/>
    <x v="3"/>
    <x v="1"/>
    <x v="29"/>
    <m/>
    <m/>
    <m/>
    <s v="Yes"/>
    <s v="Other"/>
    <m/>
    <x v="2"/>
    <m/>
    <n v="0"/>
    <n v="0"/>
    <x v="0"/>
  </r>
  <r>
    <s v="L1142"/>
    <x v="1"/>
    <x v="2"/>
    <x v="24"/>
    <d v="2025-10-12T00:00:00"/>
    <d v="2025-10-13T00:00:00"/>
    <d v="2025-10-15T00:00:00"/>
    <s v="No"/>
    <m/>
    <d v="2025-11-06T00:00:00"/>
    <x v="8"/>
    <n v="4"/>
    <n v="1"/>
    <n v="2"/>
    <x v="0"/>
  </r>
  <r>
    <s v="L1143"/>
    <x v="3"/>
    <x v="2"/>
    <x v="9"/>
    <d v="2025-10-17T00:00:00"/>
    <d v="2025-10-21T00:00:00"/>
    <d v="2025-10-27T00:00:00"/>
    <s v="No"/>
    <m/>
    <d v="2025-11-17T00:00:00"/>
    <x v="10"/>
    <n v="5"/>
    <n v="4"/>
    <n v="6"/>
    <x v="0"/>
  </r>
  <r>
    <s v="L1144"/>
    <x v="0"/>
    <x v="2"/>
    <x v="14"/>
    <d v="2025-10-09T00:00:00"/>
    <d v="2025-10-12T00:00:00"/>
    <d v="2025-10-14T00:00:00"/>
    <s v="No"/>
    <m/>
    <d v="2025-11-10T00:00:00"/>
    <x v="5"/>
    <n v="3"/>
    <n v="3"/>
    <n v="2"/>
    <x v="0"/>
  </r>
  <r>
    <s v="L1145"/>
    <x v="1"/>
    <x v="0"/>
    <x v="29"/>
    <d v="2025-10-11T00:00:00"/>
    <d v="2025-10-15T00:00:00"/>
    <d v="2025-10-18T00:00:00"/>
    <s v="No"/>
    <m/>
    <d v="2025-11-09T00:00:00"/>
    <x v="10"/>
    <n v="1"/>
    <n v="4"/>
    <n v="3"/>
    <x v="0"/>
  </r>
  <r>
    <s v="L1146"/>
    <x v="0"/>
    <x v="2"/>
    <x v="2"/>
    <d v="2025-10-03T00:00:00"/>
    <d v="2025-10-04T00:00:00"/>
    <d v="2025-10-08T00:00:00"/>
    <s v="No"/>
    <m/>
    <d v="2025-10-21T00:00:00"/>
    <x v="5"/>
    <n v="2"/>
    <n v="1"/>
    <n v="4"/>
    <x v="0"/>
  </r>
  <r>
    <s v="L1147"/>
    <x v="3"/>
    <x v="1"/>
    <x v="12"/>
    <m/>
    <m/>
    <m/>
    <s v="Yes"/>
    <s v="Changed Mind"/>
    <m/>
    <x v="2"/>
    <m/>
    <n v="0"/>
    <n v="0"/>
    <x v="0"/>
  </r>
  <r>
    <s v="L1148"/>
    <x v="3"/>
    <x v="2"/>
    <x v="21"/>
    <d v="2025-10-22T00:00:00"/>
    <d v="2025-10-24T00:00:00"/>
    <d v="2025-10-26T00:00:00"/>
    <s v="No"/>
    <m/>
    <d v="2025-11-20T00:00:00"/>
    <x v="7"/>
    <n v="4"/>
    <n v="2"/>
    <n v="2"/>
    <x v="0"/>
  </r>
  <r>
    <s v="L1149"/>
    <x v="3"/>
    <x v="0"/>
    <x v="13"/>
    <d v="2025-10-10T00:00:00"/>
    <d v="2025-10-11T00:00:00"/>
    <d v="2025-10-15T00:00:00"/>
    <s v="No"/>
    <m/>
    <d v="2025-11-12T00:00:00"/>
    <x v="8"/>
    <n v="5"/>
    <n v="1"/>
    <n v="4"/>
    <x v="0"/>
  </r>
  <r>
    <s v="L1150"/>
    <x v="0"/>
    <x v="2"/>
    <x v="17"/>
    <d v="2025-10-10T00:00:00"/>
    <d v="2025-10-15T00:00:00"/>
    <d v="2025-10-18T00:00:00"/>
    <s v="No"/>
    <m/>
    <d v="2025-11-17T00:00:00"/>
    <x v="0"/>
    <n v="1"/>
    <n v="5"/>
    <n v="3"/>
    <x v="0"/>
  </r>
  <r>
    <s v="L1151"/>
    <x v="1"/>
    <x v="1"/>
    <x v="30"/>
    <m/>
    <m/>
    <m/>
    <s v="Yes"/>
    <s v="Other"/>
    <m/>
    <x v="2"/>
    <m/>
    <n v="0"/>
    <n v="0"/>
    <x v="0"/>
  </r>
  <r>
    <s v="L1152"/>
    <x v="1"/>
    <x v="1"/>
    <x v="30"/>
    <m/>
    <m/>
    <m/>
    <s v="Yes"/>
    <s v="Changed Mind"/>
    <m/>
    <x v="2"/>
    <m/>
    <n v="0"/>
    <n v="0"/>
    <x v="0"/>
  </r>
  <r>
    <s v="L1153"/>
    <x v="0"/>
    <x v="0"/>
    <x v="21"/>
    <d v="2025-10-19T00:00:00"/>
    <d v="2025-10-21T00:00:00"/>
    <d v="2025-10-27T00:00:00"/>
    <s v="No"/>
    <m/>
    <d v="2025-11-13T00:00:00"/>
    <x v="11"/>
    <n v="1"/>
    <n v="2"/>
    <n v="6"/>
    <x v="1"/>
  </r>
  <r>
    <s v="L1154"/>
    <x v="1"/>
    <x v="1"/>
    <x v="29"/>
    <m/>
    <m/>
    <m/>
    <s v="Yes"/>
    <s v="Other"/>
    <m/>
    <x v="2"/>
    <m/>
    <n v="0"/>
    <n v="0"/>
    <x v="0"/>
  </r>
  <r>
    <s v="L1155"/>
    <x v="0"/>
    <x v="2"/>
    <x v="12"/>
    <d v="2025-10-25T00:00:00"/>
    <d v="2025-10-29T00:00:00"/>
    <d v="2025-11-02T00:00:00"/>
    <s v="No"/>
    <m/>
    <d v="2025-11-17T00:00:00"/>
    <x v="8"/>
    <n v="2"/>
    <n v="4"/>
    <n v="4"/>
    <x v="0"/>
  </r>
  <r>
    <s v="L1156"/>
    <x v="1"/>
    <x v="1"/>
    <x v="8"/>
    <m/>
    <m/>
    <m/>
    <s v="Yes"/>
    <s v="Financing Issue"/>
    <m/>
    <x v="2"/>
    <m/>
    <n v="0"/>
    <n v="0"/>
    <x v="0"/>
  </r>
  <r>
    <s v="L1157"/>
    <x v="2"/>
    <x v="2"/>
    <x v="13"/>
    <d v="2025-10-08T00:00:00"/>
    <d v="2025-10-12T00:00:00"/>
    <d v="2025-10-15T00:00:00"/>
    <s v="No"/>
    <m/>
    <d v="2025-11-08T00:00:00"/>
    <x v="1"/>
    <n v="3"/>
    <n v="4"/>
    <n v="3"/>
    <x v="1"/>
  </r>
  <r>
    <s v="L1158"/>
    <x v="2"/>
    <x v="1"/>
    <x v="0"/>
    <m/>
    <m/>
    <m/>
    <s v="Yes"/>
    <s v="Model Unavailable"/>
    <m/>
    <x v="2"/>
    <m/>
    <n v="0"/>
    <n v="0"/>
    <x v="0"/>
  </r>
  <r>
    <s v="L1159"/>
    <x v="3"/>
    <x v="2"/>
    <x v="3"/>
    <d v="2025-10-30T00:00:00"/>
    <d v="2025-11-03T00:00:00"/>
    <d v="2025-11-08T00:00:00"/>
    <s v="No"/>
    <m/>
    <d v="2025-11-20T00:00:00"/>
    <x v="7"/>
    <n v="2"/>
    <n v="4"/>
    <n v="5"/>
    <x v="0"/>
  </r>
  <r>
    <s v="L1160"/>
    <x v="2"/>
    <x v="0"/>
    <x v="22"/>
    <d v="2025-10-27T00:00:00"/>
    <d v="2025-10-29T00:00:00"/>
    <d v="2025-11-04T00:00:00"/>
    <s v="No"/>
    <m/>
    <d v="2025-11-15T00:00:00"/>
    <x v="9"/>
    <n v="2"/>
    <n v="2"/>
    <n v="6"/>
    <x v="0"/>
  </r>
  <r>
    <s v="L1161"/>
    <x v="2"/>
    <x v="0"/>
    <x v="6"/>
    <d v="2025-10-19T00:00:00"/>
    <d v="2025-10-22T00:00:00"/>
    <d v="2025-10-29T00:00:00"/>
    <s v="No"/>
    <m/>
    <d v="2025-11-17T00:00:00"/>
    <x v="0"/>
    <n v="3"/>
    <n v="3"/>
    <n v="7"/>
    <x v="0"/>
  </r>
  <r>
    <s v="L1162"/>
    <x v="2"/>
    <x v="2"/>
    <x v="7"/>
    <d v="2025-10-07T00:00:00"/>
    <d v="2025-10-10T00:00:00"/>
    <d v="2025-10-15T00:00:00"/>
    <s v="No"/>
    <m/>
    <d v="2025-10-25T00:00:00"/>
    <x v="11"/>
    <n v="3"/>
    <n v="3"/>
    <n v="5"/>
    <x v="1"/>
  </r>
  <r>
    <s v="L1163"/>
    <x v="0"/>
    <x v="2"/>
    <x v="3"/>
    <d v="2025-10-31T00:00:00"/>
    <d v="2025-11-03T00:00:00"/>
    <d v="2025-11-09T00:00:00"/>
    <s v="No"/>
    <m/>
    <d v="2025-11-29T00:00:00"/>
    <x v="7"/>
    <n v="3"/>
    <n v="3"/>
    <n v="6"/>
    <x v="0"/>
  </r>
  <r>
    <s v="L1164"/>
    <x v="2"/>
    <x v="2"/>
    <x v="2"/>
    <d v="2025-10-02T00:00:00"/>
    <d v="2025-10-03T00:00:00"/>
    <d v="2025-10-09T00:00:00"/>
    <s v="No"/>
    <m/>
    <d v="2025-10-27T00:00:00"/>
    <x v="5"/>
    <n v="1"/>
    <n v="1"/>
    <n v="6"/>
    <x v="0"/>
  </r>
  <r>
    <s v="L1165"/>
    <x v="2"/>
    <x v="0"/>
    <x v="23"/>
    <d v="2025-10-20T00:00:00"/>
    <d v="2025-10-21T00:00:00"/>
    <d v="2025-10-23T00:00:00"/>
    <s v="No"/>
    <m/>
    <d v="2025-11-05T00:00:00"/>
    <x v="0"/>
    <n v="1"/>
    <n v="1"/>
    <n v="2"/>
    <x v="0"/>
  </r>
  <r>
    <s v="L1166"/>
    <x v="3"/>
    <x v="0"/>
    <x v="29"/>
    <d v="2025-10-14T00:00:00"/>
    <d v="2025-10-19T00:00:00"/>
    <d v="2025-10-25T00:00:00"/>
    <s v="Yes"/>
    <s v="Changed Mind"/>
    <m/>
    <x v="2"/>
    <n v="4"/>
    <n v="5"/>
    <n v="6"/>
    <x v="0"/>
  </r>
  <r>
    <s v="L1167"/>
    <x v="2"/>
    <x v="2"/>
    <x v="6"/>
    <d v="2025-10-20T00:00:00"/>
    <d v="2025-10-22T00:00:00"/>
    <d v="2025-10-24T00:00:00"/>
    <s v="Yes"/>
    <s v="Price"/>
    <m/>
    <x v="2"/>
    <n v="4"/>
    <n v="2"/>
    <n v="2"/>
    <x v="0"/>
  </r>
  <r>
    <s v="L1168"/>
    <x v="2"/>
    <x v="0"/>
    <x v="6"/>
    <d v="2025-10-18T00:00:00"/>
    <d v="2025-10-23T00:00:00"/>
    <d v="2025-10-27T00:00:00"/>
    <s v="No"/>
    <m/>
    <d v="2025-11-08T00:00:00"/>
    <x v="7"/>
    <n v="2"/>
    <n v="5"/>
    <n v="4"/>
    <x v="0"/>
  </r>
  <r>
    <s v="L1169"/>
    <x v="1"/>
    <x v="2"/>
    <x v="11"/>
    <d v="2025-10-17T00:00:00"/>
    <d v="2025-10-18T00:00:00"/>
    <d v="2025-10-24T00:00:00"/>
    <s v="No"/>
    <m/>
    <d v="2025-11-13T00:00:00"/>
    <x v="0"/>
    <n v="2"/>
    <n v="1"/>
    <n v="6"/>
    <x v="0"/>
  </r>
  <r>
    <s v="L1170"/>
    <x v="3"/>
    <x v="1"/>
    <x v="1"/>
    <m/>
    <m/>
    <m/>
    <s v="Yes"/>
    <s v="Model Unavailable"/>
    <m/>
    <x v="2"/>
    <m/>
    <n v="0"/>
    <n v="0"/>
    <x v="0"/>
  </r>
  <r>
    <s v="L1171"/>
    <x v="3"/>
    <x v="2"/>
    <x v="14"/>
    <d v="2025-10-10T00:00:00"/>
    <d v="2025-10-12T00:00:00"/>
    <d v="2025-10-16T00:00:00"/>
    <s v="No"/>
    <m/>
    <d v="2025-10-31T00:00:00"/>
    <x v="10"/>
    <n v="4"/>
    <n v="2"/>
    <n v="4"/>
    <x v="0"/>
  </r>
  <r>
    <s v="L1172"/>
    <x v="3"/>
    <x v="2"/>
    <x v="8"/>
    <d v="2025-11-05T00:00:00"/>
    <d v="2025-11-09T00:00:00"/>
    <d v="2025-11-15T00:00:00"/>
    <s v="No"/>
    <m/>
    <d v="2025-12-07T00:00:00"/>
    <x v="1"/>
    <n v="5"/>
    <n v="4"/>
    <n v="6"/>
    <x v="1"/>
  </r>
  <r>
    <s v="L1173"/>
    <x v="3"/>
    <x v="2"/>
    <x v="30"/>
    <d v="2025-10-04T00:00:00"/>
    <d v="2025-10-06T00:00:00"/>
    <d v="2025-10-08T00:00:00"/>
    <s v="No"/>
    <m/>
    <d v="2025-10-23T00:00:00"/>
    <x v="5"/>
    <n v="2"/>
    <n v="2"/>
    <n v="2"/>
    <x v="0"/>
  </r>
  <r>
    <s v="L1174"/>
    <x v="3"/>
    <x v="0"/>
    <x v="17"/>
    <d v="2025-10-14T00:00:00"/>
    <d v="2025-10-15T00:00:00"/>
    <d v="2025-10-22T00:00:00"/>
    <s v="No"/>
    <m/>
    <d v="2025-11-03T00:00:00"/>
    <x v="5"/>
    <n v="5"/>
    <n v="1"/>
    <n v="7"/>
    <x v="0"/>
  </r>
  <r>
    <s v="L1175"/>
    <x v="3"/>
    <x v="1"/>
    <x v="8"/>
    <m/>
    <m/>
    <m/>
    <s v="Yes"/>
    <s v="Price"/>
    <m/>
    <x v="2"/>
    <m/>
    <n v="0"/>
    <n v="0"/>
    <x v="0"/>
  </r>
  <r>
    <s v="L1176"/>
    <x v="0"/>
    <x v="0"/>
    <x v="3"/>
    <d v="2025-11-02T00:00:00"/>
    <d v="2025-11-06T00:00:00"/>
    <d v="2025-11-11T00:00:00"/>
    <s v="No"/>
    <m/>
    <d v="2025-12-08T00:00:00"/>
    <x v="9"/>
    <n v="5"/>
    <n v="4"/>
    <n v="5"/>
    <x v="0"/>
  </r>
  <r>
    <s v="L1177"/>
    <x v="2"/>
    <x v="2"/>
    <x v="6"/>
    <d v="2025-10-19T00:00:00"/>
    <d v="2025-10-23T00:00:00"/>
    <d v="2025-10-29T00:00:00"/>
    <s v="No"/>
    <m/>
    <d v="2025-11-10T00:00:00"/>
    <x v="7"/>
    <n v="3"/>
    <n v="4"/>
    <n v="6"/>
    <x v="0"/>
  </r>
  <r>
    <s v="L1178"/>
    <x v="3"/>
    <x v="0"/>
    <x v="7"/>
    <d v="2025-10-05T00:00:00"/>
    <d v="2025-10-07T00:00:00"/>
    <d v="2025-10-10T00:00:00"/>
    <s v="No"/>
    <m/>
    <d v="2025-10-30T00:00:00"/>
    <x v="3"/>
    <n v="1"/>
    <n v="2"/>
    <n v="3"/>
    <x v="2"/>
  </r>
  <r>
    <s v="L1179"/>
    <x v="2"/>
    <x v="0"/>
    <x v="5"/>
    <d v="2025-10-31T00:00:00"/>
    <d v="2025-11-03T00:00:00"/>
    <d v="2025-11-08T00:00:00"/>
    <s v="No"/>
    <m/>
    <d v="2025-12-07T00:00:00"/>
    <x v="8"/>
    <n v="4"/>
    <n v="3"/>
    <n v="5"/>
    <x v="0"/>
  </r>
  <r>
    <s v="L1180"/>
    <x v="2"/>
    <x v="2"/>
    <x v="25"/>
    <d v="2025-10-04T00:00:00"/>
    <d v="2025-10-05T00:00:00"/>
    <d v="2025-10-07T00:00:00"/>
    <s v="No"/>
    <m/>
    <d v="2025-11-05T00:00:00"/>
    <x v="10"/>
    <n v="1"/>
    <n v="1"/>
    <n v="2"/>
    <x v="0"/>
  </r>
  <r>
    <s v="L1181"/>
    <x v="0"/>
    <x v="0"/>
    <x v="27"/>
    <d v="2025-10-17T00:00:00"/>
    <d v="2025-10-18T00:00:00"/>
    <d v="2025-10-25T00:00:00"/>
    <s v="No"/>
    <m/>
    <d v="2025-11-19T00:00:00"/>
    <x v="8"/>
    <n v="4"/>
    <n v="1"/>
    <n v="7"/>
    <x v="0"/>
  </r>
  <r>
    <s v="L1182"/>
    <x v="3"/>
    <x v="1"/>
    <x v="6"/>
    <m/>
    <m/>
    <m/>
    <s v="Yes"/>
    <s v="Model Unavailable"/>
    <m/>
    <x v="2"/>
    <m/>
    <n v="0"/>
    <n v="0"/>
    <x v="0"/>
  </r>
  <r>
    <s v="L1183"/>
    <x v="1"/>
    <x v="2"/>
    <x v="25"/>
    <d v="2025-10-04T00:00:00"/>
    <d v="2025-10-07T00:00:00"/>
    <d v="2025-10-14T00:00:00"/>
    <s v="No"/>
    <m/>
    <d v="2025-10-24T00:00:00"/>
    <x v="5"/>
    <n v="1"/>
    <n v="3"/>
    <n v="7"/>
    <x v="0"/>
  </r>
  <r>
    <s v="L1184"/>
    <x v="0"/>
    <x v="0"/>
    <x v="23"/>
    <d v="2025-10-23T00:00:00"/>
    <d v="2025-10-28T00:00:00"/>
    <d v="2025-10-31T00:00:00"/>
    <s v="No"/>
    <m/>
    <d v="2025-11-23T00:00:00"/>
    <x v="9"/>
    <n v="4"/>
    <n v="5"/>
    <n v="3"/>
    <x v="0"/>
  </r>
  <r>
    <s v="L1185"/>
    <x v="1"/>
    <x v="0"/>
    <x v="0"/>
    <d v="2025-10-22T00:00:00"/>
    <d v="2025-10-27T00:00:00"/>
    <d v="2025-10-31T00:00:00"/>
    <s v="No"/>
    <m/>
    <d v="2025-11-30T00:00:00"/>
    <x v="0"/>
    <n v="1"/>
    <n v="5"/>
    <n v="4"/>
    <x v="0"/>
  </r>
  <r>
    <s v="L1186"/>
    <x v="2"/>
    <x v="0"/>
    <x v="26"/>
    <d v="2025-10-25T00:00:00"/>
    <d v="2025-10-26T00:00:00"/>
    <d v="2025-10-28T00:00:00"/>
    <s v="No"/>
    <m/>
    <d v="2025-11-12T00:00:00"/>
    <x v="9"/>
    <n v="3"/>
    <n v="1"/>
    <n v="2"/>
    <x v="0"/>
  </r>
  <r>
    <s v="L1187"/>
    <x v="2"/>
    <x v="2"/>
    <x v="30"/>
    <d v="2025-10-07T00:00:00"/>
    <d v="2025-10-10T00:00:00"/>
    <d v="2025-10-15T00:00:00"/>
    <s v="No"/>
    <m/>
    <d v="2025-11-13T00:00:00"/>
    <x v="11"/>
    <n v="5"/>
    <n v="3"/>
    <n v="5"/>
    <x v="1"/>
  </r>
  <r>
    <s v="L1188"/>
    <x v="0"/>
    <x v="2"/>
    <x v="13"/>
    <d v="2025-10-09T00:00:00"/>
    <d v="2025-10-12T00:00:00"/>
    <d v="2025-10-16T00:00:00"/>
    <s v="No"/>
    <m/>
    <d v="2025-11-08T00:00:00"/>
    <x v="3"/>
    <n v="4"/>
    <n v="3"/>
    <n v="4"/>
    <x v="2"/>
  </r>
  <r>
    <s v="L1189"/>
    <x v="0"/>
    <x v="1"/>
    <x v="13"/>
    <m/>
    <m/>
    <m/>
    <s v="Yes"/>
    <s v="Model Unavailable"/>
    <m/>
    <x v="2"/>
    <m/>
    <n v="0"/>
    <n v="0"/>
    <x v="0"/>
  </r>
  <r>
    <s v="L1190"/>
    <x v="1"/>
    <x v="1"/>
    <x v="19"/>
    <m/>
    <m/>
    <m/>
    <s v="Yes"/>
    <s v="Other"/>
    <m/>
    <x v="2"/>
    <m/>
    <n v="0"/>
    <n v="0"/>
    <x v="0"/>
  </r>
  <r>
    <s v="L1191"/>
    <x v="3"/>
    <x v="0"/>
    <x v="23"/>
    <d v="2025-10-24T00:00:00"/>
    <d v="2025-10-28T00:00:00"/>
    <d v="2025-11-01T00:00:00"/>
    <s v="No"/>
    <m/>
    <d v="2025-11-16T00:00:00"/>
    <x v="4"/>
    <n v="5"/>
    <n v="4"/>
    <n v="4"/>
    <x v="2"/>
  </r>
  <r>
    <s v="L1192"/>
    <x v="1"/>
    <x v="0"/>
    <x v="8"/>
    <d v="2025-11-04T00:00:00"/>
    <d v="2025-11-09T00:00:00"/>
    <d v="2025-11-11T00:00:00"/>
    <s v="Yes"/>
    <s v="Changed Mind"/>
    <m/>
    <x v="2"/>
    <n v="4"/>
    <n v="5"/>
    <n v="2"/>
    <x v="0"/>
  </r>
  <r>
    <s v="L1193"/>
    <x v="0"/>
    <x v="0"/>
    <x v="29"/>
    <d v="2025-10-14T00:00:00"/>
    <d v="2025-10-19T00:00:00"/>
    <d v="2025-10-24T00:00:00"/>
    <s v="No"/>
    <m/>
    <d v="2025-11-04T00:00:00"/>
    <x v="7"/>
    <n v="4"/>
    <n v="5"/>
    <n v="5"/>
    <x v="0"/>
  </r>
  <r>
    <s v="L1194"/>
    <x v="1"/>
    <x v="0"/>
    <x v="25"/>
    <d v="2025-10-06T00:00:00"/>
    <d v="2025-10-10T00:00:00"/>
    <d v="2025-10-12T00:00:00"/>
    <s v="No"/>
    <m/>
    <d v="2025-10-25T00:00:00"/>
    <x v="9"/>
    <n v="3"/>
    <n v="4"/>
    <n v="2"/>
    <x v="0"/>
  </r>
  <r>
    <s v="L1195"/>
    <x v="0"/>
    <x v="0"/>
    <x v="24"/>
    <d v="2025-10-09T00:00:00"/>
    <d v="2025-10-11T00:00:00"/>
    <d v="2025-10-14T00:00:00"/>
    <s v="No"/>
    <m/>
    <d v="2025-11-03T00:00:00"/>
    <x v="3"/>
    <n v="1"/>
    <n v="2"/>
    <n v="3"/>
    <x v="2"/>
  </r>
  <r>
    <s v="L1196"/>
    <x v="1"/>
    <x v="2"/>
    <x v="7"/>
    <d v="2025-10-08T00:00:00"/>
    <d v="2025-10-13T00:00:00"/>
    <d v="2025-10-16T00:00:00"/>
    <s v="No"/>
    <m/>
    <d v="2025-11-01T00:00:00"/>
    <x v="4"/>
    <n v="4"/>
    <n v="5"/>
    <n v="3"/>
    <x v="2"/>
  </r>
  <r>
    <s v="L1197"/>
    <x v="0"/>
    <x v="1"/>
    <x v="21"/>
    <m/>
    <m/>
    <m/>
    <s v="Yes"/>
    <s v="Changed Mind"/>
    <m/>
    <x v="2"/>
    <m/>
    <n v="0"/>
    <n v="0"/>
    <x v="0"/>
  </r>
  <r>
    <s v="L1198"/>
    <x v="0"/>
    <x v="0"/>
    <x v="22"/>
    <d v="2025-10-26T00:00:00"/>
    <d v="2025-10-30T00:00:00"/>
    <d v="2025-11-06T00:00:00"/>
    <s v="No"/>
    <m/>
    <d v="2025-11-22T00:00:00"/>
    <x v="1"/>
    <n v="1"/>
    <n v="4"/>
    <n v="7"/>
    <x v="1"/>
  </r>
  <r>
    <s v="L1199"/>
    <x v="0"/>
    <x v="1"/>
    <x v="4"/>
    <m/>
    <m/>
    <m/>
    <s v="Yes"/>
    <s v="Model Unavailable"/>
    <m/>
    <x v="2"/>
    <m/>
    <n v="0"/>
    <n v="0"/>
    <x v="0"/>
  </r>
  <r>
    <s v="L1200"/>
    <x v="3"/>
    <x v="2"/>
    <x v="18"/>
    <d v="2025-10-23T00:00:00"/>
    <d v="2025-10-26T00:00:00"/>
    <d v="2025-11-01T00:00:00"/>
    <s v="No"/>
    <m/>
    <d v="2025-11-24T00:00:00"/>
    <x v="5"/>
    <n v="3"/>
    <n v="3"/>
    <n v="6"/>
    <x v="0"/>
  </r>
  <r>
    <s v="L1201"/>
    <x v="1"/>
    <x v="2"/>
    <x v="18"/>
    <d v="2025-10-22T00:00:00"/>
    <d v="2025-10-24T00:00:00"/>
    <d v="2025-10-31T00:00:00"/>
    <s v="No"/>
    <m/>
    <d v="2025-11-27T00:00:00"/>
    <x v="0"/>
    <n v="2"/>
    <n v="2"/>
    <n v="7"/>
    <x v="0"/>
  </r>
  <r>
    <s v="L1202"/>
    <x v="1"/>
    <x v="2"/>
    <x v="19"/>
    <d v="2025-10-31T00:00:00"/>
    <d v="2025-11-01T00:00:00"/>
    <d v="2025-11-05T00:00:00"/>
    <s v="No"/>
    <m/>
    <d v="2025-12-02T00:00:00"/>
    <x v="0"/>
    <n v="5"/>
    <n v="1"/>
    <n v="4"/>
    <x v="0"/>
  </r>
  <r>
    <s v="L1203"/>
    <x v="1"/>
    <x v="0"/>
    <x v="18"/>
    <d v="2025-10-24T00:00:00"/>
    <d v="2025-10-27T00:00:00"/>
    <d v="2025-11-03T00:00:00"/>
    <s v="No"/>
    <m/>
    <d v="2025-11-21T00:00:00"/>
    <x v="3"/>
    <n v="4"/>
    <n v="3"/>
    <n v="7"/>
    <x v="2"/>
  </r>
  <r>
    <s v="L1204"/>
    <x v="0"/>
    <x v="1"/>
    <x v="24"/>
    <m/>
    <m/>
    <m/>
    <s v="Yes"/>
    <s v="Financing Issue"/>
    <m/>
    <x v="2"/>
    <m/>
    <n v="0"/>
    <n v="0"/>
    <x v="0"/>
  </r>
  <r>
    <s v="L1205"/>
    <x v="1"/>
    <x v="2"/>
    <x v="22"/>
    <d v="2025-10-28T00:00:00"/>
    <d v="2025-10-30T00:00:00"/>
    <d v="2025-11-05T00:00:00"/>
    <s v="No"/>
    <m/>
    <d v="2025-11-24T00:00:00"/>
    <x v="0"/>
    <n v="3"/>
    <n v="2"/>
    <n v="6"/>
    <x v="0"/>
  </r>
  <r>
    <s v="L1206"/>
    <x v="1"/>
    <x v="1"/>
    <x v="16"/>
    <m/>
    <m/>
    <m/>
    <s v="Yes"/>
    <s v="Financing Issue"/>
    <m/>
    <x v="2"/>
    <m/>
    <n v="0"/>
    <n v="0"/>
    <x v="0"/>
  </r>
  <r>
    <s v="L1207"/>
    <x v="0"/>
    <x v="0"/>
    <x v="27"/>
    <d v="2025-10-14T00:00:00"/>
    <d v="2025-10-18T00:00:00"/>
    <d v="2025-10-25T00:00:00"/>
    <s v="No"/>
    <m/>
    <d v="2025-11-13T00:00:00"/>
    <x v="11"/>
    <n v="1"/>
    <n v="4"/>
    <n v="7"/>
    <x v="1"/>
  </r>
  <r>
    <s v="L1208"/>
    <x v="2"/>
    <x v="1"/>
    <x v="11"/>
    <m/>
    <m/>
    <m/>
    <s v="Yes"/>
    <s v="Price"/>
    <m/>
    <x v="2"/>
    <m/>
    <n v="0"/>
    <n v="0"/>
    <x v="0"/>
  </r>
  <r>
    <s v="L1209"/>
    <x v="0"/>
    <x v="2"/>
    <x v="20"/>
    <d v="2025-11-03T00:00:00"/>
    <d v="2025-11-06T00:00:00"/>
    <d v="2025-11-11T00:00:00"/>
    <s v="No"/>
    <m/>
    <d v="2025-11-28T00:00:00"/>
    <x v="3"/>
    <n v="4"/>
    <n v="3"/>
    <n v="5"/>
    <x v="2"/>
  </r>
  <r>
    <s v="L1210"/>
    <x v="1"/>
    <x v="1"/>
    <x v="11"/>
    <m/>
    <m/>
    <m/>
    <s v="Yes"/>
    <s v="Price"/>
    <m/>
    <x v="2"/>
    <m/>
    <n v="0"/>
    <n v="0"/>
    <x v="0"/>
  </r>
  <r>
    <s v="L1211"/>
    <x v="0"/>
    <x v="0"/>
    <x v="29"/>
    <d v="2025-10-11T00:00:00"/>
    <d v="2025-10-13T00:00:00"/>
    <d v="2025-10-16T00:00:00"/>
    <s v="Yes"/>
    <s v="Other"/>
    <m/>
    <x v="2"/>
    <n v="1"/>
    <n v="2"/>
    <n v="3"/>
    <x v="0"/>
  </r>
  <r>
    <s v="L1212"/>
    <x v="2"/>
    <x v="2"/>
    <x v="3"/>
    <d v="2025-10-30T00:00:00"/>
    <d v="2025-10-31T00:00:00"/>
    <d v="2025-11-06T00:00:00"/>
    <s v="No"/>
    <m/>
    <d v="2025-11-19T00:00:00"/>
    <x v="8"/>
    <n v="2"/>
    <n v="1"/>
    <n v="6"/>
    <x v="0"/>
  </r>
  <r>
    <s v="L1213"/>
    <x v="0"/>
    <x v="2"/>
    <x v="23"/>
    <d v="2025-10-23T00:00:00"/>
    <d v="2025-10-26T00:00:00"/>
    <d v="2025-10-29T00:00:00"/>
    <s v="No"/>
    <m/>
    <d v="2025-11-09T00:00:00"/>
    <x v="0"/>
    <n v="4"/>
    <n v="3"/>
    <n v="3"/>
    <x v="0"/>
  </r>
  <r>
    <s v="L1214"/>
    <x v="1"/>
    <x v="1"/>
    <x v="4"/>
    <m/>
    <m/>
    <m/>
    <s v="Yes"/>
    <s v="Model Unavailable"/>
    <m/>
    <x v="2"/>
    <m/>
    <n v="0"/>
    <n v="0"/>
    <x v="0"/>
  </r>
  <r>
    <s v="L1215"/>
    <x v="2"/>
    <x v="1"/>
    <x v="29"/>
    <m/>
    <m/>
    <m/>
    <s v="Yes"/>
    <s v="Price"/>
    <m/>
    <x v="2"/>
    <m/>
    <n v="0"/>
    <n v="0"/>
    <x v="0"/>
  </r>
  <r>
    <s v="L1216"/>
    <x v="3"/>
    <x v="2"/>
    <x v="23"/>
    <d v="2025-10-24T00:00:00"/>
    <d v="2025-10-27T00:00:00"/>
    <d v="2025-10-30T00:00:00"/>
    <s v="No"/>
    <m/>
    <d v="2025-11-21T00:00:00"/>
    <x v="6"/>
    <n v="5"/>
    <n v="3"/>
    <n v="3"/>
    <x v="0"/>
  </r>
  <r>
    <s v="L1217"/>
    <x v="1"/>
    <x v="0"/>
    <x v="18"/>
    <d v="2025-10-24T00:00:00"/>
    <d v="2025-10-29T00:00:00"/>
    <d v="2025-11-01T00:00:00"/>
    <s v="Yes"/>
    <s v="Price"/>
    <m/>
    <x v="2"/>
    <n v="4"/>
    <n v="5"/>
    <n v="3"/>
    <x v="0"/>
  </r>
  <r>
    <s v="L1218"/>
    <x v="2"/>
    <x v="1"/>
    <x v="30"/>
    <m/>
    <m/>
    <m/>
    <s v="Yes"/>
    <s v="Model Unavailable"/>
    <m/>
    <x v="2"/>
    <m/>
    <n v="0"/>
    <n v="0"/>
    <x v="0"/>
  </r>
  <r>
    <s v="L1219"/>
    <x v="2"/>
    <x v="1"/>
    <x v="18"/>
    <m/>
    <m/>
    <m/>
    <s v="Yes"/>
    <s v="Other"/>
    <m/>
    <x v="2"/>
    <m/>
    <n v="0"/>
    <n v="0"/>
    <x v="0"/>
  </r>
  <r>
    <s v="L1220"/>
    <x v="3"/>
    <x v="1"/>
    <x v="8"/>
    <m/>
    <m/>
    <m/>
    <s v="Yes"/>
    <s v="Price"/>
    <m/>
    <x v="2"/>
    <m/>
    <n v="0"/>
    <n v="0"/>
    <x v="0"/>
  </r>
  <r>
    <s v="L1221"/>
    <x v="0"/>
    <x v="0"/>
    <x v="15"/>
    <d v="2025-10-29T00:00:00"/>
    <d v="2025-10-31T00:00:00"/>
    <d v="2025-11-02T00:00:00"/>
    <s v="No"/>
    <m/>
    <d v="2025-11-30T00:00:00"/>
    <x v="9"/>
    <n v="5"/>
    <n v="2"/>
    <n v="2"/>
    <x v="0"/>
  </r>
  <r>
    <s v="L1222"/>
    <x v="0"/>
    <x v="0"/>
    <x v="7"/>
    <d v="2025-10-05T00:00:00"/>
    <d v="2025-10-07T00:00:00"/>
    <d v="2025-10-13T00:00:00"/>
    <s v="No"/>
    <m/>
    <d v="2025-11-09T00:00:00"/>
    <x v="10"/>
    <n v="1"/>
    <n v="2"/>
    <n v="6"/>
    <x v="0"/>
  </r>
  <r>
    <s v="L1223"/>
    <x v="1"/>
    <x v="0"/>
    <x v="8"/>
    <d v="2025-11-04T00:00:00"/>
    <d v="2025-11-09T00:00:00"/>
    <d v="2025-11-13T00:00:00"/>
    <s v="No"/>
    <m/>
    <d v="2025-12-08T00:00:00"/>
    <x v="11"/>
    <n v="4"/>
    <n v="5"/>
    <n v="4"/>
    <x v="1"/>
  </r>
  <r>
    <s v="L1224"/>
    <x v="3"/>
    <x v="0"/>
    <x v="22"/>
    <d v="2025-10-28T00:00:00"/>
    <d v="2025-11-01T00:00:00"/>
    <d v="2025-11-07T00:00:00"/>
    <s v="No"/>
    <m/>
    <d v="2025-11-21T00:00:00"/>
    <x v="9"/>
    <n v="3"/>
    <n v="4"/>
    <n v="6"/>
    <x v="0"/>
  </r>
  <r>
    <s v="L1225"/>
    <x v="0"/>
    <x v="0"/>
    <x v="28"/>
    <d v="2025-10-10T00:00:00"/>
    <d v="2025-10-14T00:00:00"/>
    <d v="2025-10-18T00:00:00"/>
    <s v="Yes"/>
    <s v="Other"/>
    <m/>
    <x v="2"/>
    <n v="3"/>
    <n v="4"/>
    <n v="4"/>
    <x v="0"/>
  </r>
  <r>
    <s v="L1226"/>
    <x v="3"/>
    <x v="0"/>
    <x v="0"/>
    <d v="2025-10-23T00:00:00"/>
    <d v="2025-10-28T00:00:00"/>
    <d v="2025-11-03T00:00:00"/>
    <s v="Yes"/>
    <s v="Changed Mind"/>
    <m/>
    <x v="2"/>
    <n v="2"/>
    <n v="5"/>
    <n v="6"/>
    <x v="0"/>
  </r>
  <r>
    <s v="L1227"/>
    <x v="0"/>
    <x v="2"/>
    <x v="28"/>
    <d v="2025-10-10T00:00:00"/>
    <d v="2025-10-13T00:00:00"/>
    <d v="2025-10-19T00:00:00"/>
    <s v="No"/>
    <m/>
    <d v="2025-10-30T00:00:00"/>
    <x v="8"/>
    <n v="3"/>
    <n v="3"/>
    <n v="6"/>
    <x v="0"/>
  </r>
  <r>
    <s v="L1228"/>
    <x v="2"/>
    <x v="1"/>
    <x v="17"/>
    <m/>
    <m/>
    <m/>
    <s v="Yes"/>
    <s v="Other"/>
    <m/>
    <x v="2"/>
    <m/>
    <n v="0"/>
    <n v="0"/>
    <x v="0"/>
  </r>
  <r>
    <s v="L1229"/>
    <x v="0"/>
    <x v="0"/>
    <x v="26"/>
    <d v="2025-10-24T00:00:00"/>
    <d v="2025-10-25T00:00:00"/>
    <d v="2025-10-28T00:00:00"/>
    <s v="No"/>
    <m/>
    <d v="2025-11-18T00:00:00"/>
    <x v="0"/>
    <n v="2"/>
    <n v="1"/>
    <n v="3"/>
    <x v="0"/>
  </r>
  <r>
    <s v="L1230"/>
    <x v="3"/>
    <x v="0"/>
    <x v="25"/>
    <d v="2025-10-04T00:00:00"/>
    <d v="2025-10-08T00:00:00"/>
    <d v="2025-10-12T00:00:00"/>
    <s v="No"/>
    <m/>
    <d v="2025-10-22T00:00:00"/>
    <x v="0"/>
    <n v="1"/>
    <n v="4"/>
    <n v="4"/>
    <x v="0"/>
  </r>
  <r>
    <s v="L1231"/>
    <x v="2"/>
    <x v="0"/>
    <x v="14"/>
    <d v="2025-10-11T00:00:00"/>
    <d v="2025-10-12T00:00:00"/>
    <d v="2025-10-19T00:00:00"/>
    <s v="No"/>
    <m/>
    <d v="2025-11-11T00:00:00"/>
    <x v="1"/>
    <n v="5"/>
    <n v="1"/>
    <n v="7"/>
    <x v="1"/>
  </r>
  <r>
    <s v="L1232"/>
    <x v="2"/>
    <x v="0"/>
    <x v="24"/>
    <d v="2025-10-09T00:00:00"/>
    <d v="2025-10-11T00:00:00"/>
    <d v="2025-10-15T00:00:00"/>
    <s v="Yes"/>
    <s v="Financing Issue"/>
    <m/>
    <x v="2"/>
    <n v="1"/>
    <n v="2"/>
    <n v="4"/>
    <x v="0"/>
  </r>
  <r>
    <s v="L1233"/>
    <x v="2"/>
    <x v="2"/>
    <x v="14"/>
    <d v="2025-10-11T00:00:00"/>
    <d v="2025-10-13T00:00:00"/>
    <d v="2025-10-17T00:00:00"/>
    <s v="No"/>
    <m/>
    <d v="2025-10-29T00:00:00"/>
    <x v="3"/>
    <n v="5"/>
    <n v="2"/>
    <n v="4"/>
    <x v="2"/>
  </r>
  <r>
    <s v="L1234"/>
    <x v="3"/>
    <x v="2"/>
    <x v="21"/>
    <d v="2025-10-23T00:00:00"/>
    <d v="2025-10-27T00:00:00"/>
    <d v="2025-11-02T00:00:00"/>
    <s v="No"/>
    <m/>
    <d v="2025-11-21T00:00:00"/>
    <x v="8"/>
    <n v="5"/>
    <n v="4"/>
    <n v="6"/>
    <x v="0"/>
  </r>
  <r>
    <s v="L1235"/>
    <x v="1"/>
    <x v="2"/>
    <x v="25"/>
    <d v="2025-10-05T00:00:00"/>
    <d v="2025-10-08T00:00:00"/>
    <d v="2025-10-12T00:00:00"/>
    <s v="No"/>
    <m/>
    <d v="2025-11-11T00:00:00"/>
    <x v="11"/>
    <n v="2"/>
    <n v="3"/>
    <n v="4"/>
    <x v="1"/>
  </r>
  <r>
    <s v="L1236"/>
    <x v="1"/>
    <x v="2"/>
    <x v="14"/>
    <d v="2025-10-09T00:00:00"/>
    <d v="2025-10-11T00:00:00"/>
    <d v="2025-10-17T00:00:00"/>
    <s v="No"/>
    <m/>
    <d v="2025-11-15T00:00:00"/>
    <x v="11"/>
    <n v="3"/>
    <n v="2"/>
    <n v="6"/>
    <x v="1"/>
  </r>
  <r>
    <s v="L1237"/>
    <x v="1"/>
    <x v="0"/>
    <x v="2"/>
    <d v="2025-10-04T00:00:00"/>
    <d v="2025-10-05T00:00:00"/>
    <d v="2025-10-12T00:00:00"/>
    <s v="No"/>
    <m/>
    <d v="2025-11-06T00:00:00"/>
    <x v="6"/>
    <n v="3"/>
    <n v="1"/>
    <n v="7"/>
    <x v="0"/>
  </r>
  <r>
    <s v="L1238"/>
    <x v="3"/>
    <x v="0"/>
    <x v="4"/>
    <d v="2025-10-16T00:00:00"/>
    <d v="2025-10-19T00:00:00"/>
    <d v="2025-10-21T00:00:00"/>
    <s v="No"/>
    <m/>
    <d v="2025-11-06T00:00:00"/>
    <x v="10"/>
    <n v="2"/>
    <n v="3"/>
    <n v="2"/>
    <x v="0"/>
  </r>
  <r>
    <s v="L1239"/>
    <x v="2"/>
    <x v="2"/>
    <x v="11"/>
    <d v="2025-10-17T00:00:00"/>
    <d v="2025-10-21T00:00:00"/>
    <d v="2025-10-24T00:00:00"/>
    <s v="Yes"/>
    <s v="Financing Issue"/>
    <m/>
    <x v="2"/>
    <n v="2"/>
    <n v="4"/>
    <n v="3"/>
    <x v="0"/>
  </r>
  <r>
    <s v="L1240"/>
    <x v="1"/>
    <x v="0"/>
    <x v="12"/>
    <d v="2025-10-24T00:00:00"/>
    <d v="2025-10-26T00:00:00"/>
    <d v="2025-10-31T00:00:00"/>
    <s v="No"/>
    <m/>
    <d v="2025-11-13T00:00:00"/>
    <x v="3"/>
    <n v="1"/>
    <n v="2"/>
    <n v="5"/>
    <x v="2"/>
  </r>
  <r>
    <s v="L1241"/>
    <x v="3"/>
    <x v="2"/>
    <x v="18"/>
    <d v="2025-10-22T00:00:00"/>
    <d v="2025-10-26T00:00:00"/>
    <d v="2025-10-28T00:00:00"/>
    <s v="No"/>
    <m/>
    <d v="2025-11-07T00:00:00"/>
    <x v="10"/>
    <n v="2"/>
    <n v="4"/>
    <n v="2"/>
    <x v="0"/>
  </r>
  <r>
    <s v="L1242"/>
    <x v="1"/>
    <x v="1"/>
    <x v="6"/>
    <m/>
    <m/>
    <m/>
    <s v="Yes"/>
    <s v="Other"/>
    <m/>
    <x v="2"/>
    <m/>
    <n v="0"/>
    <n v="0"/>
    <x v="0"/>
  </r>
  <r>
    <s v="L1243"/>
    <x v="0"/>
    <x v="1"/>
    <x v="29"/>
    <m/>
    <m/>
    <m/>
    <s v="Yes"/>
    <s v="Financing Issue"/>
    <m/>
    <x v="2"/>
    <m/>
    <n v="0"/>
    <n v="0"/>
    <x v="0"/>
  </r>
  <r>
    <s v="L1244"/>
    <x v="1"/>
    <x v="2"/>
    <x v="30"/>
    <d v="2025-10-05T00:00:00"/>
    <d v="2025-10-08T00:00:00"/>
    <d v="2025-10-12T00:00:00"/>
    <s v="No"/>
    <m/>
    <d v="2025-10-28T00:00:00"/>
    <x v="5"/>
    <n v="3"/>
    <n v="3"/>
    <n v="4"/>
    <x v="0"/>
  </r>
  <r>
    <s v="L1245"/>
    <x v="1"/>
    <x v="0"/>
    <x v="24"/>
    <d v="2025-10-10T00:00:00"/>
    <d v="2025-10-13T00:00:00"/>
    <d v="2025-10-20T00:00:00"/>
    <s v="Yes"/>
    <s v="Changed Mind"/>
    <m/>
    <x v="2"/>
    <n v="2"/>
    <n v="3"/>
    <n v="7"/>
    <x v="0"/>
  </r>
  <r>
    <s v="L1246"/>
    <x v="2"/>
    <x v="2"/>
    <x v="29"/>
    <d v="2025-10-12T00:00:00"/>
    <d v="2025-10-15T00:00:00"/>
    <d v="2025-10-18T00:00:00"/>
    <s v="No"/>
    <m/>
    <d v="2025-11-02T00:00:00"/>
    <x v="5"/>
    <n v="2"/>
    <n v="3"/>
    <n v="3"/>
    <x v="0"/>
  </r>
  <r>
    <s v="L1247"/>
    <x v="3"/>
    <x v="0"/>
    <x v="12"/>
    <d v="2025-10-28T00:00:00"/>
    <d v="2025-11-02T00:00:00"/>
    <d v="2025-11-09T00:00:00"/>
    <s v="No"/>
    <m/>
    <d v="2025-12-09T00:00:00"/>
    <x v="8"/>
    <n v="5"/>
    <n v="5"/>
    <n v="7"/>
    <x v="0"/>
  </r>
  <r>
    <s v="L1248"/>
    <x v="2"/>
    <x v="0"/>
    <x v="29"/>
    <d v="2025-10-12T00:00:00"/>
    <d v="2025-10-17T00:00:00"/>
    <d v="2025-10-20T00:00:00"/>
    <s v="No"/>
    <m/>
    <d v="2025-11-08T00:00:00"/>
    <x v="11"/>
    <n v="2"/>
    <n v="5"/>
    <n v="3"/>
    <x v="1"/>
  </r>
  <r>
    <s v="L1249"/>
    <x v="2"/>
    <x v="2"/>
    <x v="12"/>
    <d v="2025-10-24T00:00:00"/>
    <d v="2025-10-25T00:00:00"/>
    <d v="2025-10-28T00:00:00"/>
    <s v="No"/>
    <m/>
    <d v="2025-11-09T00:00:00"/>
    <x v="9"/>
    <n v="1"/>
    <n v="1"/>
    <n v="3"/>
    <x v="0"/>
  </r>
  <r>
    <s v="L1250"/>
    <x v="2"/>
    <x v="0"/>
    <x v="3"/>
    <d v="2025-10-30T00:00:00"/>
    <d v="2025-11-02T00:00:00"/>
    <d v="2025-11-05T00:00:00"/>
    <s v="No"/>
    <m/>
    <d v="2025-11-30T00:00:00"/>
    <x v="0"/>
    <n v="2"/>
    <n v="3"/>
    <n v="3"/>
    <x v="0"/>
  </r>
  <r>
    <s v="L1251"/>
    <x v="2"/>
    <x v="2"/>
    <x v="11"/>
    <d v="2025-10-19T00:00:00"/>
    <d v="2025-10-22T00:00:00"/>
    <d v="2025-10-29T00:00:00"/>
    <s v="No"/>
    <m/>
    <d v="2025-11-11T00:00:00"/>
    <x v="5"/>
    <n v="4"/>
    <n v="3"/>
    <n v="7"/>
    <x v="0"/>
  </r>
  <r>
    <s v="L1252"/>
    <x v="2"/>
    <x v="2"/>
    <x v="25"/>
    <d v="2025-10-07T00:00:00"/>
    <d v="2025-10-09T00:00:00"/>
    <d v="2025-10-13T00:00:00"/>
    <s v="No"/>
    <m/>
    <d v="2025-11-01T00:00:00"/>
    <x v="4"/>
    <n v="4"/>
    <n v="2"/>
    <n v="4"/>
    <x v="2"/>
  </r>
  <r>
    <s v="L1253"/>
    <x v="1"/>
    <x v="0"/>
    <x v="26"/>
    <d v="2025-10-27T00:00:00"/>
    <d v="2025-10-28T00:00:00"/>
    <d v="2025-10-31T00:00:00"/>
    <s v="No"/>
    <m/>
    <d v="2025-11-22T00:00:00"/>
    <x v="8"/>
    <n v="5"/>
    <n v="1"/>
    <n v="3"/>
    <x v="0"/>
  </r>
  <r>
    <s v="L1254"/>
    <x v="2"/>
    <x v="0"/>
    <x v="24"/>
    <d v="2025-10-13T00:00:00"/>
    <d v="2025-10-14T00:00:00"/>
    <d v="2025-10-21T00:00:00"/>
    <s v="No"/>
    <m/>
    <d v="2025-11-15T00:00:00"/>
    <x v="7"/>
    <n v="5"/>
    <n v="1"/>
    <n v="7"/>
    <x v="0"/>
  </r>
  <r>
    <s v="L1255"/>
    <x v="2"/>
    <x v="0"/>
    <x v="20"/>
    <d v="2025-11-03T00:00:00"/>
    <d v="2025-11-07T00:00:00"/>
    <d v="2025-11-12T00:00:00"/>
    <s v="Yes"/>
    <s v="Model Unavailable"/>
    <m/>
    <x v="2"/>
    <n v="4"/>
    <n v="4"/>
    <n v="5"/>
    <x v="0"/>
  </r>
  <r>
    <s v="L1256"/>
    <x v="3"/>
    <x v="0"/>
    <x v="17"/>
    <d v="2025-10-14T00:00:00"/>
    <d v="2025-10-17T00:00:00"/>
    <d v="2025-10-22T00:00:00"/>
    <s v="No"/>
    <m/>
    <d v="2025-11-16T00:00:00"/>
    <x v="9"/>
    <n v="5"/>
    <n v="3"/>
    <n v="5"/>
    <x v="0"/>
  </r>
  <r>
    <s v="L1257"/>
    <x v="0"/>
    <x v="1"/>
    <x v="19"/>
    <m/>
    <m/>
    <m/>
    <s v="Yes"/>
    <s v="Financing Issue"/>
    <m/>
    <x v="2"/>
    <m/>
    <n v="0"/>
    <n v="0"/>
    <x v="0"/>
  </r>
  <r>
    <s v="L1258"/>
    <x v="1"/>
    <x v="2"/>
    <x v="19"/>
    <d v="2025-10-31T00:00:00"/>
    <d v="2025-11-02T00:00:00"/>
    <d v="2025-11-05T00:00:00"/>
    <s v="Yes"/>
    <s v="Financing Issue"/>
    <m/>
    <x v="2"/>
    <n v="5"/>
    <n v="2"/>
    <n v="3"/>
    <x v="0"/>
  </r>
  <r>
    <s v="L1259"/>
    <x v="1"/>
    <x v="0"/>
    <x v="0"/>
    <d v="2025-10-24T00:00:00"/>
    <d v="2025-10-28T00:00:00"/>
    <d v="2025-11-03T00:00:00"/>
    <s v="No"/>
    <m/>
    <d v="2025-11-21T00:00:00"/>
    <x v="8"/>
    <n v="3"/>
    <n v="4"/>
    <n v="6"/>
    <x v="0"/>
  </r>
  <r>
    <s v="L1260"/>
    <x v="1"/>
    <x v="0"/>
    <x v="23"/>
    <d v="2025-10-22T00:00:00"/>
    <d v="2025-10-27T00:00:00"/>
    <d v="2025-11-03T00:00:00"/>
    <s v="No"/>
    <m/>
    <d v="2025-11-15T00:00:00"/>
    <x v="0"/>
    <n v="3"/>
    <n v="5"/>
    <n v="7"/>
    <x v="0"/>
  </r>
  <r>
    <s v="L1261"/>
    <x v="2"/>
    <x v="0"/>
    <x v="26"/>
    <d v="2025-10-24T00:00:00"/>
    <d v="2025-10-27T00:00:00"/>
    <d v="2025-10-31T00:00:00"/>
    <s v="No"/>
    <m/>
    <d v="2025-11-30T00:00:00"/>
    <x v="3"/>
    <n v="2"/>
    <n v="3"/>
    <n v="4"/>
    <x v="2"/>
  </r>
  <r>
    <s v="L1262"/>
    <x v="2"/>
    <x v="1"/>
    <x v="19"/>
    <m/>
    <m/>
    <m/>
    <s v="Yes"/>
    <s v="Other"/>
    <m/>
    <x v="2"/>
    <m/>
    <n v="0"/>
    <n v="0"/>
    <x v="0"/>
  </r>
  <r>
    <s v="L1263"/>
    <x v="2"/>
    <x v="0"/>
    <x v="20"/>
    <d v="2025-11-03T00:00:00"/>
    <d v="2025-11-04T00:00:00"/>
    <d v="2025-11-11T00:00:00"/>
    <s v="No"/>
    <m/>
    <d v="2025-12-08T00:00:00"/>
    <x v="7"/>
    <n v="4"/>
    <n v="1"/>
    <n v="7"/>
    <x v="0"/>
  </r>
  <r>
    <s v="L1264"/>
    <x v="3"/>
    <x v="0"/>
    <x v="28"/>
    <d v="2025-10-08T00:00:00"/>
    <d v="2025-10-11T00:00:00"/>
    <d v="2025-10-16T00:00:00"/>
    <s v="No"/>
    <m/>
    <d v="2025-11-07T00:00:00"/>
    <x v="11"/>
    <n v="1"/>
    <n v="3"/>
    <n v="5"/>
    <x v="1"/>
  </r>
  <r>
    <s v="L1265"/>
    <x v="0"/>
    <x v="0"/>
    <x v="4"/>
    <d v="2025-10-18T00:00:00"/>
    <d v="2025-10-21T00:00:00"/>
    <d v="2025-10-26T00:00:00"/>
    <s v="No"/>
    <m/>
    <d v="2025-11-10T00:00:00"/>
    <x v="7"/>
    <n v="4"/>
    <n v="3"/>
    <n v="5"/>
    <x v="0"/>
  </r>
  <r>
    <s v="L1266"/>
    <x v="2"/>
    <x v="1"/>
    <x v="7"/>
    <m/>
    <m/>
    <m/>
    <s v="Yes"/>
    <s v="Changed Mind"/>
    <m/>
    <x v="2"/>
    <m/>
    <n v="0"/>
    <n v="0"/>
    <x v="0"/>
  </r>
  <r>
    <s v="L1267"/>
    <x v="0"/>
    <x v="1"/>
    <x v="21"/>
    <m/>
    <m/>
    <m/>
    <s v="Yes"/>
    <s v="Model Unavailable"/>
    <m/>
    <x v="2"/>
    <m/>
    <n v="0"/>
    <n v="0"/>
    <x v="0"/>
  </r>
  <r>
    <s v="L1268"/>
    <x v="3"/>
    <x v="0"/>
    <x v="24"/>
    <d v="2025-10-12T00:00:00"/>
    <d v="2025-10-17T00:00:00"/>
    <d v="2025-10-22T00:00:00"/>
    <s v="No"/>
    <m/>
    <d v="2025-11-12T00:00:00"/>
    <x v="5"/>
    <n v="4"/>
    <n v="5"/>
    <n v="5"/>
    <x v="0"/>
  </r>
  <r>
    <s v="L1269"/>
    <x v="1"/>
    <x v="0"/>
    <x v="0"/>
    <d v="2025-10-24T00:00:00"/>
    <d v="2025-10-26T00:00:00"/>
    <d v="2025-10-28T00:00:00"/>
    <s v="No"/>
    <m/>
    <d v="2025-11-19T00:00:00"/>
    <x v="10"/>
    <n v="3"/>
    <n v="2"/>
    <n v="2"/>
    <x v="0"/>
  </r>
  <r>
    <s v="L1270"/>
    <x v="2"/>
    <x v="2"/>
    <x v="13"/>
    <d v="2025-10-08T00:00:00"/>
    <d v="2025-10-10T00:00:00"/>
    <d v="2025-10-17T00:00:00"/>
    <s v="No"/>
    <m/>
    <d v="2025-11-07T00:00:00"/>
    <x v="7"/>
    <n v="3"/>
    <n v="2"/>
    <n v="7"/>
    <x v="0"/>
  </r>
  <r>
    <s v="L1271"/>
    <x v="0"/>
    <x v="2"/>
    <x v="20"/>
    <d v="2025-11-04T00:00:00"/>
    <d v="2025-11-06T00:00:00"/>
    <d v="2025-11-08T00:00:00"/>
    <s v="No"/>
    <m/>
    <d v="2025-11-23T00:00:00"/>
    <x v="5"/>
    <n v="5"/>
    <n v="2"/>
    <n v="2"/>
    <x v="0"/>
  </r>
  <r>
    <s v="L1272"/>
    <x v="0"/>
    <x v="0"/>
    <x v="17"/>
    <d v="2025-10-10T00:00:00"/>
    <d v="2025-10-14T00:00:00"/>
    <d v="2025-10-19T00:00:00"/>
    <s v="No"/>
    <m/>
    <d v="2025-11-12T00:00:00"/>
    <x v="3"/>
    <n v="1"/>
    <n v="4"/>
    <n v="5"/>
    <x v="2"/>
  </r>
  <r>
    <s v="L1273"/>
    <x v="2"/>
    <x v="2"/>
    <x v="5"/>
    <d v="2025-10-30T00:00:00"/>
    <d v="2025-11-01T00:00:00"/>
    <d v="2025-11-07T00:00:00"/>
    <s v="No"/>
    <m/>
    <d v="2025-11-18T00:00:00"/>
    <x v="0"/>
    <n v="3"/>
    <n v="2"/>
    <n v="6"/>
    <x v="0"/>
  </r>
  <r>
    <s v="L1274"/>
    <x v="1"/>
    <x v="0"/>
    <x v="13"/>
    <d v="2025-10-10T00:00:00"/>
    <d v="2025-10-14T00:00:00"/>
    <d v="2025-10-21T00:00:00"/>
    <s v="No"/>
    <m/>
    <d v="2025-11-08T00:00:00"/>
    <x v="9"/>
    <n v="5"/>
    <n v="4"/>
    <n v="7"/>
    <x v="0"/>
  </r>
  <r>
    <s v="L1275"/>
    <x v="1"/>
    <x v="2"/>
    <x v="25"/>
    <d v="2025-10-04T00:00:00"/>
    <d v="2025-10-09T00:00:00"/>
    <d v="2025-10-13T00:00:00"/>
    <s v="No"/>
    <m/>
    <d v="2025-11-06T00:00:00"/>
    <x v="4"/>
    <n v="1"/>
    <n v="5"/>
    <n v="4"/>
    <x v="2"/>
  </r>
  <r>
    <s v="L1276"/>
    <x v="1"/>
    <x v="0"/>
    <x v="30"/>
    <d v="2025-10-05T00:00:00"/>
    <d v="2025-10-08T00:00:00"/>
    <d v="2025-10-15T00:00:00"/>
    <s v="No"/>
    <m/>
    <d v="2025-11-08T00:00:00"/>
    <x v="1"/>
    <n v="3"/>
    <n v="3"/>
    <n v="7"/>
    <x v="1"/>
  </r>
  <r>
    <s v="L1277"/>
    <x v="3"/>
    <x v="0"/>
    <x v="14"/>
    <d v="2025-10-10T00:00:00"/>
    <d v="2025-10-14T00:00:00"/>
    <d v="2025-10-18T00:00:00"/>
    <s v="No"/>
    <m/>
    <d v="2025-11-05T00:00:00"/>
    <x v="10"/>
    <n v="4"/>
    <n v="4"/>
    <n v="4"/>
    <x v="0"/>
  </r>
  <r>
    <s v="L1278"/>
    <x v="0"/>
    <x v="1"/>
    <x v="19"/>
    <m/>
    <m/>
    <m/>
    <s v="Yes"/>
    <s v="Other"/>
    <m/>
    <x v="2"/>
    <m/>
    <n v="0"/>
    <n v="0"/>
    <x v="0"/>
  </r>
  <r>
    <s v="L1279"/>
    <x v="0"/>
    <x v="2"/>
    <x v="29"/>
    <d v="2025-10-14T00:00:00"/>
    <d v="2025-10-19T00:00:00"/>
    <d v="2025-10-24T00:00:00"/>
    <s v="Yes"/>
    <s v="Other"/>
    <m/>
    <x v="2"/>
    <n v="4"/>
    <n v="5"/>
    <n v="5"/>
    <x v="0"/>
  </r>
  <r>
    <s v="L1280"/>
    <x v="0"/>
    <x v="0"/>
    <x v="18"/>
    <d v="2025-10-21T00:00:00"/>
    <d v="2025-10-25T00:00:00"/>
    <d v="2025-10-30T00:00:00"/>
    <s v="No"/>
    <m/>
    <d v="2025-11-16T00:00:00"/>
    <x v="1"/>
    <n v="1"/>
    <n v="4"/>
    <n v="5"/>
    <x v="1"/>
  </r>
  <r>
    <s v="L1281"/>
    <x v="3"/>
    <x v="1"/>
    <x v="15"/>
    <m/>
    <m/>
    <m/>
    <s v="Yes"/>
    <s v="Changed Mind"/>
    <m/>
    <x v="2"/>
    <m/>
    <n v="0"/>
    <n v="0"/>
    <x v="0"/>
  </r>
  <r>
    <s v="L1282"/>
    <x v="0"/>
    <x v="2"/>
    <x v="5"/>
    <d v="2025-10-28T00:00:00"/>
    <d v="2025-11-02T00:00:00"/>
    <d v="2025-11-06T00:00:00"/>
    <s v="Yes"/>
    <s v="Model Unavailable"/>
    <m/>
    <x v="2"/>
    <n v="1"/>
    <n v="5"/>
    <n v="4"/>
    <x v="0"/>
  </r>
  <r>
    <s v="L1283"/>
    <x v="3"/>
    <x v="1"/>
    <x v="23"/>
    <m/>
    <m/>
    <m/>
    <s v="Yes"/>
    <s v="Changed Mind"/>
    <m/>
    <x v="2"/>
    <m/>
    <n v="0"/>
    <n v="0"/>
    <x v="0"/>
  </r>
  <r>
    <s v="L1284"/>
    <x v="1"/>
    <x v="0"/>
    <x v="20"/>
    <d v="2025-11-02T00:00:00"/>
    <d v="2025-11-04T00:00:00"/>
    <d v="2025-11-10T00:00:00"/>
    <s v="No"/>
    <m/>
    <d v="2025-11-28T00:00:00"/>
    <x v="8"/>
    <n v="3"/>
    <n v="2"/>
    <n v="6"/>
    <x v="0"/>
  </r>
  <r>
    <s v="L1285"/>
    <x v="2"/>
    <x v="0"/>
    <x v="29"/>
    <d v="2025-10-13T00:00:00"/>
    <d v="2025-10-15T00:00:00"/>
    <d v="2025-10-17T00:00:00"/>
    <s v="No"/>
    <m/>
    <d v="2025-11-14T00:00:00"/>
    <x v="3"/>
    <n v="3"/>
    <n v="2"/>
    <n v="2"/>
    <x v="2"/>
  </r>
  <r>
    <s v="L1286"/>
    <x v="0"/>
    <x v="1"/>
    <x v="11"/>
    <m/>
    <m/>
    <m/>
    <s v="Yes"/>
    <s v="Model Unavailable"/>
    <m/>
    <x v="2"/>
    <m/>
    <n v="0"/>
    <n v="0"/>
    <x v="0"/>
  </r>
  <r>
    <s v="L1287"/>
    <x v="0"/>
    <x v="2"/>
    <x v="7"/>
    <d v="2025-10-05T00:00:00"/>
    <d v="2025-10-10T00:00:00"/>
    <d v="2025-10-17T00:00:00"/>
    <s v="No"/>
    <m/>
    <d v="2025-10-28T00:00:00"/>
    <x v="0"/>
    <n v="1"/>
    <n v="5"/>
    <n v="7"/>
    <x v="0"/>
  </r>
  <r>
    <s v="L1288"/>
    <x v="1"/>
    <x v="0"/>
    <x v="11"/>
    <d v="2025-10-16T00:00:00"/>
    <d v="2025-10-17T00:00:00"/>
    <d v="2025-10-19T00:00:00"/>
    <s v="Yes"/>
    <s v="Changed Mind"/>
    <m/>
    <x v="2"/>
    <n v="1"/>
    <n v="1"/>
    <n v="2"/>
    <x v="0"/>
  </r>
  <r>
    <s v="L1289"/>
    <x v="2"/>
    <x v="1"/>
    <x v="12"/>
    <m/>
    <m/>
    <m/>
    <s v="Yes"/>
    <s v="Other"/>
    <m/>
    <x v="2"/>
    <m/>
    <n v="0"/>
    <n v="0"/>
    <x v="0"/>
  </r>
  <r>
    <s v="L1290"/>
    <x v="3"/>
    <x v="2"/>
    <x v="29"/>
    <d v="2025-10-15T00:00:00"/>
    <d v="2025-10-20T00:00:00"/>
    <d v="2025-10-27T00:00:00"/>
    <s v="No"/>
    <m/>
    <d v="2025-11-10T00:00:00"/>
    <x v="8"/>
    <n v="5"/>
    <n v="5"/>
    <n v="7"/>
    <x v="0"/>
  </r>
  <r>
    <s v="L1291"/>
    <x v="2"/>
    <x v="0"/>
    <x v="12"/>
    <d v="2025-10-28T00:00:00"/>
    <d v="2025-11-01T00:00:00"/>
    <d v="2025-11-06T00:00:00"/>
    <s v="No"/>
    <m/>
    <d v="2025-11-19T00:00:00"/>
    <x v="10"/>
    <n v="5"/>
    <n v="4"/>
    <n v="5"/>
    <x v="0"/>
  </r>
  <r>
    <s v="L1292"/>
    <x v="1"/>
    <x v="1"/>
    <x v="27"/>
    <m/>
    <m/>
    <m/>
    <s v="Yes"/>
    <s v="Other"/>
    <m/>
    <x v="2"/>
    <m/>
    <n v="0"/>
    <n v="0"/>
    <x v="0"/>
  </r>
  <r>
    <s v="L1293"/>
    <x v="1"/>
    <x v="2"/>
    <x v="8"/>
    <d v="2025-11-05T00:00:00"/>
    <d v="2025-11-10T00:00:00"/>
    <d v="2025-11-17T00:00:00"/>
    <s v="No"/>
    <m/>
    <d v="2025-11-29T00:00:00"/>
    <x v="5"/>
    <n v="5"/>
    <n v="5"/>
    <n v="7"/>
    <x v="0"/>
  </r>
  <r>
    <s v="L1294"/>
    <x v="2"/>
    <x v="1"/>
    <x v="17"/>
    <m/>
    <m/>
    <m/>
    <s v="Yes"/>
    <s v="Price"/>
    <m/>
    <x v="2"/>
    <m/>
    <n v="0"/>
    <n v="0"/>
    <x v="0"/>
  </r>
  <r>
    <s v="L1295"/>
    <x v="3"/>
    <x v="0"/>
    <x v="16"/>
    <d v="2025-10-21T00:00:00"/>
    <d v="2025-10-24T00:00:00"/>
    <d v="2025-10-31T00:00:00"/>
    <s v="Yes"/>
    <s v="Financing Issue"/>
    <m/>
    <x v="2"/>
    <n v="4"/>
    <n v="3"/>
    <n v="7"/>
    <x v="0"/>
  </r>
  <r>
    <s v="L1296"/>
    <x v="3"/>
    <x v="0"/>
    <x v="21"/>
    <d v="2025-10-22T00:00:00"/>
    <d v="2025-10-23T00:00:00"/>
    <d v="2025-10-30T00:00:00"/>
    <s v="No"/>
    <m/>
    <d v="2025-11-20T00:00:00"/>
    <x v="5"/>
    <n v="4"/>
    <n v="1"/>
    <n v="7"/>
    <x v="0"/>
  </r>
  <r>
    <s v="L1297"/>
    <x v="0"/>
    <x v="0"/>
    <x v="6"/>
    <d v="2025-10-21T00:00:00"/>
    <d v="2025-10-26T00:00:00"/>
    <d v="2025-10-30T00:00:00"/>
    <s v="No"/>
    <m/>
    <d v="2025-11-26T00:00:00"/>
    <x v="4"/>
    <n v="5"/>
    <n v="5"/>
    <n v="4"/>
    <x v="2"/>
  </r>
  <r>
    <s v="L1298"/>
    <x v="3"/>
    <x v="2"/>
    <x v="11"/>
    <d v="2025-10-20T00:00:00"/>
    <d v="2025-10-21T00:00:00"/>
    <d v="2025-10-23T00:00:00"/>
    <s v="No"/>
    <m/>
    <d v="2025-11-15T00:00:00"/>
    <x v="4"/>
    <n v="5"/>
    <n v="1"/>
    <n v="2"/>
    <x v="2"/>
  </r>
  <r>
    <s v="L1299"/>
    <x v="2"/>
    <x v="1"/>
    <x v="25"/>
    <m/>
    <m/>
    <m/>
    <s v="Yes"/>
    <s v="Changed Mind"/>
    <m/>
    <x v="2"/>
    <m/>
    <n v="0"/>
    <n v="0"/>
    <x v="0"/>
  </r>
  <r>
    <s v="L1300"/>
    <x v="1"/>
    <x v="1"/>
    <x v="18"/>
    <m/>
    <m/>
    <m/>
    <s v="Yes"/>
    <s v="Price"/>
    <m/>
    <x v="2"/>
    <m/>
    <n v="0"/>
    <n v="0"/>
    <x v="0"/>
  </r>
  <r>
    <s v="L1301"/>
    <x v="0"/>
    <x v="0"/>
    <x v="30"/>
    <d v="2025-10-03T00:00:00"/>
    <d v="2025-10-04T00:00:00"/>
    <d v="2025-10-10T00:00:00"/>
    <s v="No"/>
    <m/>
    <d v="2025-11-07T00:00:00"/>
    <x v="1"/>
    <n v="1"/>
    <n v="1"/>
    <n v="6"/>
    <x v="1"/>
  </r>
  <r>
    <s v="L1302"/>
    <x v="0"/>
    <x v="0"/>
    <x v="10"/>
    <d v="2025-11-02T00:00:00"/>
    <d v="2025-11-07T00:00:00"/>
    <d v="2025-11-12T00:00:00"/>
    <s v="No"/>
    <m/>
    <d v="2025-11-29T00:00:00"/>
    <x v="7"/>
    <n v="4"/>
    <n v="5"/>
    <n v="5"/>
    <x v="0"/>
  </r>
  <r>
    <s v="L1303"/>
    <x v="1"/>
    <x v="0"/>
    <x v="4"/>
    <d v="2025-10-19T00:00:00"/>
    <d v="2025-10-24T00:00:00"/>
    <d v="2025-10-27T00:00:00"/>
    <s v="No"/>
    <m/>
    <d v="2025-11-23T00:00:00"/>
    <x v="5"/>
    <n v="5"/>
    <n v="5"/>
    <n v="3"/>
    <x v="0"/>
  </r>
  <r>
    <s v="L1304"/>
    <x v="3"/>
    <x v="0"/>
    <x v="15"/>
    <d v="2025-10-26T00:00:00"/>
    <d v="2025-10-28T00:00:00"/>
    <d v="2025-11-02T00:00:00"/>
    <s v="No"/>
    <m/>
    <d v="2025-11-13T00:00:00"/>
    <x v="10"/>
    <n v="2"/>
    <n v="2"/>
    <n v="5"/>
    <x v="0"/>
  </r>
  <r>
    <s v="L1305"/>
    <x v="1"/>
    <x v="0"/>
    <x v="1"/>
    <d v="2025-10-14T00:00:00"/>
    <d v="2025-10-19T00:00:00"/>
    <d v="2025-10-22T00:00:00"/>
    <s v="No"/>
    <m/>
    <d v="2025-11-13T00:00:00"/>
    <x v="10"/>
    <n v="3"/>
    <n v="5"/>
    <n v="3"/>
    <x v="0"/>
  </r>
  <r>
    <s v="L1306"/>
    <x v="3"/>
    <x v="0"/>
    <x v="18"/>
    <d v="2025-10-25T00:00:00"/>
    <d v="2025-10-30T00:00:00"/>
    <d v="2025-11-04T00:00:00"/>
    <s v="No"/>
    <m/>
    <d v="2025-11-30T00:00:00"/>
    <x v="1"/>
    <n v="5"/>
    <n v="5"/>
    <n v="5"/>
    <x v="1"/>
  </r>
  <r>
    <s v="L1307"/>
    <x v="1"/>
    <x v="0"/>
    <x v="17"/>
    <d v="2025-10-13T00:00:00"/>
    <d v="2025-10-15T00:00:00"/>
    <d v="2025-10-19T00:00:00"/>
    <s v="No"/>
    <m/>
    <d v="2025-11-11T00:00:00"/>
    <x v="3"/>
    <n v="4"/>
    <n v="2"/>
    <n v="4"/>
    <x v="2"/>
  </r>
  <r>
    <s v="L1308"/>
    <x v="2"/>
    <x v="0"/>
    <x v="2"/>
    <d v="2025-10-06T00:00:00"/>
    <d v="2025-10-08T00:00:00"/>
    <d v="2025-10-12T00:00:00"/>
    <s v="No"/>
    <m/>
    <d v="2025-11-08T00:00:00"/>
    <x v="5"/>
    <n v="5"/>
    <n v="2"/>
    <n v="4"/>
    <x v="0"/>
  </r>
  <r>
    <s v="L1309"/>
    <x v="3"/>
    <x v="0"/>
    <x v="25"/>
    <d v="2025-10-05T00:00:00"/>
    <d v="2025-10-08T00:00:00"/>
    <d v="2025-10-12T00:00:00"/>
    <s v="No"/>
    <m/>
    <d v="2025-11-06T00:00:00"/>
    <x v="7"/>
    <n v="2"/>
    <n v="3"/>
    <n v="4"/>
    <x v="0"/>
  </r>
  <r>
    <s v="L1310"/>
    <x v="2"/>
    <x v="2"/>
    <x v="24"/>
    <d v="2025-10-09T00:00:00"/>
    <d v="2025-10-14T00:00:00"/>
    <d v="2025-10-18T00:00:00"/>
    <s v="No"/>
    <m/>
    <d v="2025-11-15T00:00:00"/>
    <x v="9"/>
    <n v="1"/>
    <n v="5"/>
    <n v="4"/>
    <x v="0"/>
  </r>
  <r>
    <s v="L1311"/>
    <x v="0"/>
    <x v="2"/>
    <x v="8"/>
    <d v="2025-11-04T00:00:00"/>
    <d v="2025-11-08T00:00:00"/>
    <d v="2025-11-14T00:00:00"/>
    <s v="No"/>
    <m/>
    <d v="2025-12-01T00:00:00"/>
    <x v="5"/>
    <n v="4"/>
    <n v="4"/>
    <n v="6"/>
    <x v="0"/>
  </r>
  <r>
    <s v="L1312"/>
    <x v="1"/>
    <x v="0"/>
    <x v="26"/>
    <d v="2025-10-23T00:00:00"/>
    <d v="2025-10-24T00:00:00"/>
    <d v="2025-10-30T00:00:00"/>
    <s v="No"/>
    <m/>
    <d v="2025-11-24T00:00:00"/>
    <x v="5"/>
    <n v="1"/>
    <n v="1"/>
    <n v="6"/>
    <x v="0"/>
  </r>
  <r>
    <s v="L1313"/>
    <x v="0"/>
    <x v="0"/>
    <x v="5"/>
    <d v="2025-10-30T00:00:00"/>
    <d v="2025-11-01T00:00:00"/>
    <d v="2025-11-04T00:00:00"/>
    <s v="No"/>
    <m/>
    <d v="2025-11-23T00:00:00"/>
    <x v="5"/>
    <n v="3"/>
    <n v="2"/>
    <n v="3"/>
    <x v="0"/>
  </r>
  <r>
    <s v="L1314"/>
    <x v="0"/>
    <x v="0"/>
    <x v="3"/>
    <d v="2025-10-29T00:00:00"/>
    <d v="2025-11-03T00:00:00"/>
    <d v="2025-11-09T00:00:00"/>
    <s v="No"/>
    <m/>
    <d v="2025-11-21T00:00:00"/>
    <x v="8"/>
    <n v="1"/>
    <n v="5"/>
    <n v="6"/>
    <x v="0"/>
  </r>
  <r>
    <s v="L1315"/>
    <x v="0"/>
    <x v="0"/>
    <x v="23"/>
    <d v="2025-10-24T00:00:00"/>
    <d v="2025-10-28T00:00:00"/>
    <d v="2025-11-02T00:00:00"/>
    <s v="No"/>
    <m/>
    <d v="2025-11-24T00:00:00"/>
    <x v="7"/>
    <n v="5"/>
    <n v="4"/>
    <n v="5"/>
    <x v="0"/>
  </r>
  <r>
    <s v="L1316"/>
    <x v="0"/>
    <x v="0"/>
    <x v="23"/>
    <d v="2025-10-21T00:00:00"/>
    <d v="2025-10-22T00:00:00"/>
    <d v="2025-10-26T00:00:00"/>
    <s v="No"/>
    <m/>
    <d v="2025-11-06T00:00:00"/>
    <x v="3"/>
    <n v="2"/>
    <n v="1"/>
    <n v="4"/>
    <x v="2"/>
  </r>
  <r>
    <s v="L1317"/>
    <x v="1"/>
    <x v="0"/>
    <x v="8"/>
    <d v="2025-11-01T00:00:00"/>
    <d v="2025-11-06T00:00:00"/>
    <d v="2025-11-13T00:00:00"/>
    <s v="Yes"/>
    <s v="Financing Issue"/>
    <m/>
    <x v="2"/>
    <n v="1"/>
    <n v="5"/>
    <n v="7"/>
    <x v="0"/>
  </r>
  <r>
    <s v="L1318"/>
    <x v="0"/>
    <x v="0"/>
    <x v="2"/>
    <d v="2025-10-03T00:00:00"/>
    <d v="2025-10-07T00:00:00"/>
    <d v="2025-10-09T00:00:00"/>
    <s v="No"/>
    <m/>
    <d v="2025-11-04T00:00:00"/>
    <x v="5"/>
    <n v="2"/>
    <n v="4"/>
    <n v="2"/>
    <x v="0"/>
  </r>
  <r>
    <s v="L1319"/>
    <x v="1"/>
    <x v="0"/>
    <x v="22"/>
    <d v="2025-10-29T00:00:00"/>
    <d v="2025-10-30T00:00:00"/>
    <d v="2025-11-01T00:00:00"/>
    <s v="Yes"/>
    <s v="Changed Mind"/>
    <m/>
    <x v="2"/>
    <n v="4"/>
    <n v="1"/>
    <n v="2"/>
    <x v="0"/>
  </r>
  <r>
    <s v="L1320"/>
    <x v="1"/>
    <x v="0"/>
    <x v="26"/>
    <d v="2025-10-26T00:00:00"/>
    <d v="2025-10-30T00:00:00"/>
    <d v="2025-11-01T00:00:00"/>
    <s v="No"/>
    <m/>
    <d v="2025-11-29T00:00:00"/>
    <x v="8"/>
    <n v="4"/>
    <n v="4"/>
    <n v="2"/>
    <x v="0"/>
  </r>
  <r>
    <s v="L1321"/>
    <x v="2"/>
    <x v="1"/>
    <x v="5"/>
    <m/>
    <m/>
    <m/>
    <s v="Yes"/>
    <s v="Model Unavailable"/>
    <m/>
    <x v="2"/>
    <m/>
    <n v="0"/>
    <n v="0"/>
    <x v="0"/>
  </r>
  <r>
    <s v="L1322"/>
    <x v="3"/>
    <x v="0"/>
    <x v="17"/>
    <d v="2025-10-14T00:00:00"/>
    <d v="2025-10-16T00:00:00"/>
    <d v="2025-10-23T00:00:00"/>
    <s v="Yes"/>
    <s v="Financing Issue"/>
    <m/>
    <x v="2"/>
    <n v="5"/>
    <n v="2"/>
    <n v="7"/>
    <x v="0"/>
  </r>
  <r>
    <s v="L1323"/>
    <x v="3"/>
    <x v="2"/>
    <x v="23"/>
    <d v="2025-10-24T00:00:00"/>
    <d v="2025-10-29T00:00:00"/>
    <d v="2025-11-03T00:00:00"/>
    <s v="No"/>
    <m/>
    <d v="2025-11-29T00:00:00"/>
    <x v="0"/>
    <n v="5"/>
    <n v="5"/>
    <n v="5"/>
    <x v="0"/>
  </r>
  <r>
    <s v="L1324"/>
    <x v="1"/>
    <x v="2"/>
    <x v="30"/>
    <d v="2025-10-07T00:00:00"/>
    <d v="2025-10-11T00:00:00"/>
    <d v="2025-10-13T00:00:00"/>
    <s v="Yes"/>
    <s v="Other"/>
    <m/>
    <x v="2"/>
    <n v="5"/>
    <n v="4"/>
    <n v="2"/>
    <x v="0"/>
  </r>
  <r>
    <s v="L1325"/>
    <x v="2"/>
    <x v="2"/>
    <x v="22"/>
    <d v="2025-10-27T00:00:00"/>
    <d v="2025-10-31T00:00:00"/>
    <d v="2025-11-02T00:00:00"/>
    <s v="No"/>
    <m/>
    <d v="2025-11-30T00:00:00"/>
    <x v="4"/>
    <n v="2"/>
    <n v="4"/>
    <n v="2"/>
    <x v="2"/>
  </r>
  <r>
    <s v="L1326"/>
    <x v="1"/>
    <x v="0"/>
    <x v="22"/>
    <d v="2025-10-28T00:00:00"/>
    <d v="2025-11-02T00:00:00"/>
    <d v="2025-11-05T00:00:00"/>
    <s v="No"/>
    <m/>
    <d v="2025-12-04T00:00:00"/>
    <x v="5"/>
    <n v="3"/>
    <n v="5"/>
    <n v="3"/>
    <x v="0"/>
  </r>
  <r>
    <s v="L1327"/>
    <x v="1"/>
    <x v="0"/>
    <x v="14"/>
    <d v="2025-10-09T00:00:00"/>
    <d v="2025-10-10T00:00:00"/>
    <d v="2025-10-15T00:00:00"/>
    <s v="No"/>
    <m/>
    <d v="2025-10-29T00:00:00"/>
    <x v="11"/>
    <n v="3"/>
    <n v="1"/>
    <n v="5"/>
    <x v="1"/>
  </r>
  <r>
    <s v="L1328"/>
    <x v="1"/>
    <x v="0"/>
    <x v="6"/>
    <d v="2025-10-19T00:00:00"/>
    <d v="2025-10-24T00:00:00"/>
    <d v="2025-10-29T00:00:00"/>
    <s v="No"/>
    <m/>
    <d v="2025-11-11T00:00:00"/>
    <x v="9"/>
    <n v="3"/>
    <n v="5"/>
    <n v="5"/>
    <x v="0"/>
  </r>
  <r>
    <s v="L1329"/>
    <x v="2"/>
    <x v="0"/>
    <x v="16"/>
    <d v="2025-10-21T00:00:00"/>
    <d v="2025-10-25T00:00:00"/>
    <d v="2025-10-27T00:00:00"/>
    <s v="No"/>
    <m/>
    <d v="2025-11-20T00:00:00"/>
    <x v="0"/>
    <n v="4"/>
    <n v="4"/>
    <n v="2"/>
    <x v="0"/>
  </r>
  <r>
    <s v="L1330"/>
    <x v="3"/>
    <x v="2"/>
    <x v="0"/>
    <d v="2025-10-25T00:00:00"/>
    <d v="2025-10-28T00:00:00"/>
    <d v="2025-11-02T00:00:00"/>
    <s v="No"/>
    <m/>
    <d v="2025-11-17T00:00:00"/>
    <x v="10"/>
    <n v="4"/>
    <n v="3"/>
    <n v="5"/>
    <x v="0"/>
  </r>
  <r>
    <s v="L1331"/>
    <x v="2"/>
    <x v="0"/>
    <x v="11"/>
    <d v="2025-10-18T00:00:00"/>
    <d v="2025-10-19T00:00:00"/>
    <d v="2025-10-22T00:00:00"/>
    <s v="No"/>
    <m/>
    <d v="2025-11-06T00:00:00"/>
    <x v="6"/>
    <n v="3"/>
    <n v="1"/>
    <n v="3"/>
    <x v="0"/>
  </r>
  <r>
    <s v="L1332"/>
    <x v="0"/>
    <x v="2"/>
    <x v="20"/>
    <d v="2025-11-04T00:00:00"/>
    <d v="2025-11-08T00:00:00"/>
    <d v="2025-11-15T00:00:00"/>
    <s v="No"/>
    <m/>
    <d v="2025-12-01T00:00:00"/>
    <x v="0"/>
    <n v="5"/>
    <n v="4"/>
    <n v="7"/>
    <x v="0"/>
  </r>
  <r>
    <s v="L1333"/>
    <x v="2"/>
    <x v="0"/>
    <x v="17"/>
    <d v="2025-10-10T00:00:00"/>
    <d v="2025-10-13T00:00:00"/>
    <d v="2025-10-16T00:00:00"/>
    <s v="No"/>
    <m/>
    <d v="2025-11-01T00:00:00"/>
    <x v="0"/>
    <n v="1"/>
    <n v="3"/>
    <n v="3"/>
    <x v="0"/>
  </r>
  <r>
    <s v="L1334"/>
    <x v="2"/>
    <x v="2"/>
    <x v="14"/>
    <d v="2025-10-09T00:00:00"/>
    <d v="2025-10-10T00:00:00"/>
    <d v="2025-10-17T00:00:00"/>
    <s v="No"/>
    <m/>
    <d v="2025-10-31T00:00:00"/>
    <x v="10"/>
    <n v="3"/>
    <n v="1"/>
    <n v="7"/>
    <x v="0"/>
  </r>
  <r>
    <s v="L1335"/>
    <x v="2"/>
    <x v="1"/>
    <x v="23"/>
    <m/>
    <m/>
    <m/>
    <s v="Yes"/>
    <s v="Price"/>
    <m/>
    <x v="2"/>
    <m/>
    <n v="0"/>
    <n v="0"/>
    <x v="0"/>
  </r>
  <r>
    <s v="L1336"/>
    <x v="2"/>
    <x v="2"/>
    <x v="4"/>
    <d v="2025-10-15T00:00:00"/>
    <d v="2025-10-17T00:00:00"/>
    <d v="2025-10-21T00:00:00"/>
    <s v="No"/>
    <m/>
    <d v="2025-11-01T00:00:00"/>
    <x v="11"/>
    <n v="1"/>
    <n v="2"/>
    <n v="4"/>
    <x v="1"/>
  </r>
  <r>
    <s v="L1337"/>
    <x v="3"/>
    <x v="1"/>
    <x v="0"/>
    <m/>
    <m/>
    <m/>
    <s v="Yes"/>
    <s v="Financing Issue"/>
    <m/>
    <x v="2"/>
    <m/>
    <n v="0"/>
    <n v="0"/>
    <x v="0"/>
  </r>
  <r>
    <s v="L1338"/>
    <x v="0"/>
    <x v="0"/>
    <x v="5"/>
    <d v="2025-10-30T00:00:00"/>
    <d v="2025-11-04T00:00:00"/>
    <d v="2025-11-07T00:00:00"/>
    <s v="No"/>
    <m/>
    <d v="2025-11-30T00:00:00"/>
    <x v="9"/>
    <n v="3"/>
    <n v="5"/>
    <n v="3"/>
    <x v="0"/>
  </r>
  <r>
    <s v="L1339"/>
    <x v="3"/>
    <x v="1"/>
    <x v="6"/>
    <m/>
    <m/>
    <m/>
    <s v="Yes"/>
    <s v="Financing Issue"/>
    <m/>
    <x v="2"/>
    <m/>
    <n v="0"/>
    <n v="0"/>
    <x v="0"/>
  </r>
  <r>
    <s v="L1340"/>
    <x v="3"/>
    <x v="0"/>
    <x v="25"/>
    <d v="2025-10-04T00:00:00"/>
    <d v="2025-10-05T00:00:00"/>
    <d v="2025-10-09T00:00:00"/>
    <s v="No"/>
    <m/>
    <d v="2025-10-21T00:00:00"/>
    <x v="4"/>
    <n v="1"/>
    <n v="1"/>
    <n v="4"/>
    <x v="2"/>
  </r>
  <r>
    <s v="L1341"/>
    <x v="2"/>
    <x v="0"/>
    <x v="6"/>
    <d v="2025-10-21T00:00:00"/>
    <d v="2025-10-22T00:00:00"/>
    <d v="2025-10-24T00:00:00"/>
    <s v="No"/>
    <m/>
    <d v="2025-11-16T00:00:00"/>
    <x v="10"/>
    <n v="5"/>
    <n v="1"/>
    <n v="2"/>
    <x v="0"/>
  </r>
  <r>
    <s v="L1342"/>
    <x v="1"/>
    <x v="0"/>
    <x v="9"/>
    <d v="2025-10-16T00:00:00"/>
    <d v="2025-10-20T00:00:00"/>
    <d v="2025-10-27T00:00:00"/>
    <s v="No"/>
    <m/>
    <d v="2025-11-12T00:00:00"/>
    <x v="8"/>
    <n v="4"/>
    <n v="4"/>
    <n v="7"/>
    <x v="0"/>
  </r>
  <r>
    <s v="L1343"/>
    <x v="1"/>
    <x v="0"/>
    <x v="4"/>
    <d v="2025-10-17T00:00:00"/>
    <d v="2025-10-20T00:00:00"/>
    <d v="2025-10-24T00:00:00"/>
    <s v="No"/>
    <m/>
    <d v="2025-11-23T00:00:00"/>
    <x v="1"/>
    <n v="3"/>
    <n v="3"/>
    <n v="4"/>
    <x v="1"/>
  </r>
  <r>
    <s v="L1344"/>
    <x v="3"/>
    <x v="0"/>
    <x v="1"/>
    <d v="2025-10-14T00:00:00"/>
    <d v="2025-10-15T00:00:00"/>
    <d v="2025-10-19T00:00:00"/>
    <s v="No"/>
    <m/>
    <d v="2025-11-02T00:00:00"/>
    <x v="9"/>
    <n v="3"/>
    <n v="1"/>
    <n v="4"/>
    <x v="0"/>
  </r>
  <r>
    <s v="L1345"/>
    <x v="3"/>
    <x v="0"/>
    <x v="1"/>
    <d v="2025-10-16T00:00:00"/>
    <d v="2025-10-21T00:00:00"/>
    <d v="2025-10-23T00:00:00"/>
    <s v="No"/>
    <m/>
    <d v="2025-11-21T00:00:00"/>
    <x v="5"/>
    <n v="5"/>
    <n v="5"/>
    <n v="2"/>
    <x v="0"/>
  </r>
  <r>
    <s v="L1346"/>
    <x v="2"/>
    <x v="0"/>
    <x v="26"/>
    <d v="2025-10-24T00:00:00"/>
    <d v="2025-10-25T00:00:00"/>
    <d v="2025-10-29T00:00:00"/>
    <s v="No"/>
    <m/>
    <d v="2025-11-16T00:00:00"/>
    <x v="8"/>
    <n v="2"/>
    <n v="1"/>
    <n v="4"/>
    <x v="0"/>
  </r>
  <r>
    <s v="L1347"/>
    <x v="3"/>
    <x v="2"/>
    <x v="7"/>
    <d v="2025-10-07T00:00:00"/>
    <d v="2025-10-08T00:00:00"/>
    <d v="2025-10-15T00:00:00"/>
    <s v="No"/>
    <m/>
    <d v="2025-11-04T00:00:00"/>
    <x v="1"/>
    <n v="3"/>
    <n v="1"/>
    <n v="7"/>
    <x v="1"/>
  </r>
  <r>
    <s v="L1348"/>
    <x v="2"/>
    <x v="0"/>
    <x v="3"/>
    <d v="2025-10-29T00:00:00"/>
    <d v="2025-11-02T00:00:00"/>
    <d v="2025-11-09T00:00:00"/>
    <s v="No"/>
    <m/>
    <d v="2025-11-21T00:00:00"/>
    <x v="8"/>
    <n v="1"/>
    <n v="4"/>
    <n v="7"/>
    <x v="0"/>
  </r>
  <r>
    <s v="L1349"/>
    <x v="1"/>
    <x v="0"/>
    <x v="14"/>
    <d v="2025-10-11T00:00:00"/>
    <d v="2025-10-12T00:00:00"/>
    <d v="2025-10-15T00:00:00"/>
    <s v="No"/>
    <m/>
    <d v="2025-10-27T00:00:00"/>
    <x v="5"/>
    <n v="5"/>
    <n v="1"/>
    <n v="3"/>
    <x v="0"/>
  </r>
  <r>
    <s v="L1350"/>
    <x v="1"/>
    <x v="0"/>
    <x v="1"/>
    <d v="2025-10-13T00:00:00"/>
    <d v="2025-10-16T00:00:00"/>
    <d v="2025-10-18T00:00:00"/>
    <s v="Yes"/>
    <s v="Other"/>
    <m/>
    <x v="2"/>
    <n v="2"/>
    <n v="3"/>
    <n v="2"/>
    <x v="0"/>
  </r>
  <r>
    <s v="L1351"/>
    <x v="0"/>
    <x v="0"/>
    <x v="4"/>
    <d v="2025-10-17T00:00:00"/>
    <d v="2025-10-21T00:00:00"/>
    <d v="2025-10-26T00:00:00"/>
    <s v="Yes"/>
    <s v="Changed Mind"/>
    <m/>
    <x v="2"/>
    <n v="3"/>
    <n v="4"/>
    <n v="5"/>
    <x v="0"/>
  </r>
  <r>
    <s v="L1352"/>
    <x v="1"/>
    <x v="0"/>
    <x v="12"/>
    <d v="2025-10-26T00:00:00"/>
    <d v="2025-10-28T00:00:00"/>
    <d v="2025-11-04T00:00:00"/>
    <s v="No"/>
    <m/>
    <d v="2025-11-26T00:00:00"/>
    <x v="7"/>
    <n v="3"/>
    <n v="2"/>
    <n v="7"/>
    <x v="0"/>
  </r>
  <r>
    <s v="L1353"/>
    <x v="3"/>
    <x v="1"/>
    <x v="6"/>
    <m/>
    <m/>
    <m/>
    <s v="Yes"/>
    <s v="Model Unavailable"/>
    <m/>
    <x v="2"/>
    <m/>
    <n v="0"/>
    <n v="0"/>
    <x v="0"/>
  </r>
  <r>
    <s v="L1354"/>
    <x v="1"/>
    <x v="2"/>
    <x v="29"/>
    <d v="2025-10-14T00:00:00"/>
    <d v="2025-10-16T00:00:00"/>
    <d v="2025-10-20T00:00:00"/>
    <s v="No"/>
    <m/>
    <d v="2025-11-16T00:00:00"/>
    <x v="0"/>
    <n v="4"/>
    <n v="2"/>
    <n v="4"/>
    <x v="0"/>
  </r>
  <r>
    <s v="L1355"/>
    <x v="2"/>
    <x v="0"/>
    <x v="26"/>
    <d v="2025-10-24T00:00:00"/>
    <d v="2025-10-28T00:00:00"/>
    <d v="2025-11-04T00:00:00"/>
    <s v="No"/>
    <m/>
    <d v="2025-11-26T00:00:00"/>
    <x v="9"/>
    <n v="2"/>
    <n v="4"/>
    <n v="7"/>
    <x v="0"/>
  </r>
  <r>
    <s v="L1356"/>
    <x v="1"/>
    <x v="0"/>
    <x v="8"/>
    <d v="2025-11-05T00:00:00"/>
    <d v="2025-11-08T00:00:00"/>
    <d v="2025-11-15T00:00:00"/>
    <s v="No"/>
    <m/>
    <d v="2025-12-12T00:00:00"/>
    <x v="4"/>
    <n v="5"/>
    <n v="3"/>
    <n v="7"/>
    <x v="2"/>
  </r>
  <r>
    <s v="L1357"/>
    <x v="0"/>
    <x v="0"/>
    <x v="27"/>
    <d v="2025-10-14T00:00:00"/>
    <d v="2025-10-18T00:00:00"/>
    <d v="2025-10-21T00:00:00"/>
    <s v="No"/>
    <m/>
    <d v="2025-11-10T00:00:00"/>
    <x v="9"/>
    <n v="1"/>
    <n v="4"/>
    <n v="3"/>
    <x v="0"/>
  </r>
  <r>
    <s v="L1358"/>
    <x v="1"/>
    <x v="1"/>
    <x v="5"/>
    <m/>
    <m/>
    <m/>
    <s v="Yes"/>
    <s v="Other"/>
    <m/>
    <x v="2"/>
    <m/>
    <n v="0"/>
    <n v="0"/>
    <x v="0"/>
  </r>
  <r>
    <s v="L1359"/>
    <x v="2"/>
    <x v="2"/>
    <x v="22"/>
    <d v="2025-10-28T00:00:00"/>
    <d v="2025-11-01T00:00:00"/>
    <d v="2025-11-06T00:00:00"/>
    <s v="No"/>
    <m/>
    <d v="2025-11-24T00:00:00"/>
    <x v="7"/>
    <n v="3"/>
    <n v="4"/>
    <n v="5"/>
    <x v="0"/>
  </r>
  <r>
    <s v="L1360"/>
    <x v="2"/>
    <x v="0"/>
    <x v="21"/>
    <d v="2025-10-23T00:00:00"/>
    <d v="2025-10-27T00:00:00"/>
    <d v="2025-11-03T00:00:00"/>
    <s v="No"/>
    <m/>
    <d v="2025-11-29T00:00:00"/>
    <x v="1"/>
    <n v="5"/>
    <n v="4"/>
    <n v="7"/>
    <x v="1"/>
  </r>
  <r>
    <s v="L1361"/>
    <x v="3"/>
    <x v="0"/>
    <x v="30"/>
    <d v="2025-10-06T00:00:00"/>
    <d v="2025-10-10T00:00:00"/>
    <d v="2025-10-12T00:00:00"/>
    <s v="No"/>
    <m/>
    <d v="2025-11-05T00:00:00"/>
    <x v="6"/>
    <n v="4"/>
    <n v="4"/>
    <n v="2"/>
    <x v="0"/>
  </r>
  <r>
    <s v="L1362"/>
    <x v="1"/>
    <x v="0"/>
    <x v="11"/>
    <d v="2025-10-18T00:00:00"/>
    <d v="2025-10-19T00:00:00"/>
    <d v="2025-10-26T00:00:00"/>
    <s v="No"/>
    <m/>
    <d v="2025-11-05T00:00:00"/>
    <x v="10"/>
    <n v="3"/>
    <n v="1"/>
    <n v="7"/>
    <x v="0"/>
  </r>
  <r>
    <s v="L1363"/>
    <x v="2"/>
    <x v="0"/>
    <x v="25"/>
    <d v="2025-10-05T00:00:00"/>
    <d v="2025-10-10T00:00:00"/>
    <d v="2025-10-12T00:00:00"/>
    <s v="No"/>
    <m/>
    <d v="2025-11-10T00:00:00"/>
    <x v="8"/>
    <n v="2"/>
    <n v="5"/>
    <n v="2"/>
    <x v="0"/>
  </r>
  <r>
    <s v="L1364"/>
    <x v="0"/>
    <x v="0"/>
    <x v="1"/>
    <d v="2025-10-16T00:00:00"/>
    <d v="2025-10-18T00:00:00"/>
    <d v="2025-10-20T00:00:00"/>
    <s v="No"/>
    <m/>
    <d v="2025-11-17T00:00:00"/>
    <x v="7"/>
    <n v="5"/>
    <n v="2"/>
    <n v="2"/>
    <x v="0"/>
  </r>
  <r>
    <s v="L1365"/>
    <x v="3"/>
    <x v="0"/>
    <x v="17"/>
    <d v="2025-10-10T00:00:00"/>
    <d v="2025-10-13T00:00:00"/>
    <d v="2025-10-16T00:00:00"/>
    <s v="No"/>
    <m/>
    <d v="2025-11-11T00:00:00"/>
    <x v="4"/>
    <n v="1"/>
    <n v="3"/>
    <n v="3"/>
    <x v="2"/>
  </r>
  <r>
    <s v="L1366"/>
    <x v="0"/>
    <x v="0"/>
    <x v="1"/>
    <d v="2025-10-15T00:00:00"/>
    <d v="2025-10-16T00:00:00"/>
    <d v="2025-10-21T00:00:00"/>
    <s v="No"/>
    <m/>
    <d v="2025-11-13T00:00:00"/>
    <x v="9"/>
    <n v="4"/>
    <n v="1"/>
    <n v="5"/>
    <x v="0"/>
  </r>
  <r>
    <s v="L1367"/>
    <x v="1"/>
    <x v="2"/>
    <x v="7"/>
    <d v="2025-10-09T00:00:00"/>
    <d v="2025-10-11T00:00:00"/>
    <d v="2025-10-13T00:00:00"/>
    <s v="Yes"/>
    <s v="Model Unavailable"/>
    <m/>
    <x v="2"/>
    <n v="5"/>
    <n v="2"/>
    <n v="2"/>
    <x v="0"/>
  </r>
  <r>
    <s v="L1368"/>
    <x v="1"/>
    <x v="0"/>
    <x v="22"/>
    <d v="2025-10-28T00:00:00"/>
    <d v="2025-11-02T00:00:00"/>
    <d v="2025-11-05T00:00:00"/>
    <s v="No"/>
    <m/>
    <d v="2025-11-18T00:00:00"/>
    <x v="4"/>
    <n v="3"/>
    <n v="5"/>
    <n v="3"/>
    <x v="2"/>
  </r>
  <r>
    <s v="L1369"/>
    <x v="1"/>
    <x v="2"/>
    <x v="27"/>
    <d v="2025-10-14T00:00:00"/>
    <d v="2025-10-18T00:00:00"/>
    <d v="2025-10-24T00:00:00"/>
    <s v="No"/>
    <m/>
    <d v="2025-11-16T00:00:00"/>
    <x v="8"/>
    <n v="1"/>
    <n v="4"/>
    <n v="6"/>
    <x v="0"/>
  </r>
  <r>
    <s v="L1370"/>
    <x v="3"/>
    <x v="0"/>
    <x v="3"/>
    <d v="2025-10-31T00:00:00"/>
    <d v="2025-11-05T00:00:00"/>
    <d v="2025-11-08T00:00:00"/>
    <s v="No"/>
    <m/>
    <d v="2025-11-22T00:00:00"/>
    <x v="11"/>
    <n v="3"/>
    <n v="5"/>
    <n v="3"/>
    <x v="1"/>
  </r>
  <r>
    <s v="L1371"/>
    <x v="2"/>
    <x v="0"/>
    <x v="16"/>
    <d v="2025-10-20T00:00:00"/>
    <d v="2025-10-22T00:00:00"/>
    <d v="2025-10-28T00:00:00"/>
    <s v="No"/>
    <m/>
    <d v="2025-11-11T00:00:00"/>
    <x v="10"/>
    <n v="3"/>
    <n v="2"/>
    <n v="6"/>
    <x v="0"/>
  </r>
  <r>
    <s v="L1372"/>
    <x v="3"/>
    <x v="0"/>
    <x v="5"/>
    <d v="2025-10-29T00:00:00"/>
    <d v="2025-10-31T00:00:00"/>
    <d v="2025-11-07T00:00:00"/>
    <s v="No"/>
    <m/>
    <d v="2025-12-05T00:00:00"/>
    <x v="7"/>
    <n v="2"/>
    <n v="2"/>
    <n v="7"/>
    <x v="0"/>
  </r>
  <r>
    <s v="L1373"/>
    <x v="0"/>
    <x v="0"/>
    <x v="2"/>
    <d v="2025-10-03T00:00:00"/>
    <d v="2025-10-04T00:00:00"/>
    <d v="2025-10-09T00:00:00"/>
    <s v="No"/>
    <m/>
    <d v="2025-11-06T00:00:00"/>
    <x v="0"/>
    <n v="2"/>
    <n v="1"/>
    <n v="5"/>
    <x v="0"/>
  </r>
  <r>
    <s v="L1374"/>
    <x v="3"/>
    <x v="2"/>
    <x v="26"/>
    <d v="2025-10-25T00:00:00"/>
    <d v="2025-10-26T00:00:00"/>
    <d v="2025-10-28T00:00:00"/>
    <s v="No"/>
    <m/>
    <d v="2025-11-25T00:00:00"/>
    <x v="3"/>
    <n v="3"/>
    <n v="1"/>
    <n v="2"/>
    <x v="2"/>
  </r>
  <r>
    <s v="L1375"/>
    <x v="0"/>
    <x v="0"/>
    <x v="3"/>
    <d v="2025-11-01T00:00:00"/>
    <d v="2025-11-04T00:00:00"/>
    <d v="2025-11-06T00:00:00"/>
    <s v="Yes"/>
    <s v="Changed Mind"/>
    <m/>
    <x v="2"/>
    <n v="4"/>
    <n v="3"/>
    <n v="2"/>
    <x v="0"/>
  </r>
  <r>
    <s v="L1376"/>
    <x v="3"/>
    <x v="0"/>
    <x v="21"/>
    <d v="2025-10-20T00:00:00"/>
    <d v="2025-10-24T00:00:00"/>
    <d v="2025-10-31T00:00:00"/>
    <s v="No"/>
    <m/>
    <d v="2025-11-13T00:00:00"/>
    <x v="9"/>
    <n v="2"/>
    <n v="4"/>
    <n v="7"/>
    <x v="0"/>
  </r>
  <r>
    <s v="L1377"/>
    <x v="2"/>
    <x v="0"/>
    <x v="11"/>
    <d v="2025-10-17T00:00:00"/>
    <d v="2025-10-22T00:00:00"/>
    <d v="2025-10-26T00:00:00"/>
    <s v="No"/>
    <m/>
    <d v="2025-11-08T00:00:00"/>
    <x v="3"/>
    <n v="2"/>
    <n v="5"/>
    <n v="4"/>
    <x v="2"/>
  </r>
  <r>
    <s v="L1378"/>
    <x v="0"/>
    <x v="1"/>
    <x v="4"/>
    <m/>
    <m/>
    <m/>
    <s v="Yes"/>
    <s v="Financing Issue"/>
    <m/>
    <x v="2"/>
    <m/>
    <n v="0"/>
    <n v="0"/>
    <x v="0"/>
  </r>
  <r>
    <s v="L1379"/>
    <x v="1"/>
    <x v="2"/>
    <x v="30"/>
    <d v="2025-10-04T00:00:00"/>
    <d v="2025-10-08T00:00:00"/>
    <d v="2025-10-10T00:00:00"/>
    <s v="No"/>
    <m/>
    <d v="2025-11-07T00:00:00"/>
    <x v="4"/>
    <n v="2"/>
    <n v="4"/>
    <n v="2"/>
    <x v="2"/>
  </r>
  <r>
    <s v="L1380"/>
    <x v="1"/>
    <x v="0"/>
    <x v="28"/>
    <d v="2025-10-09T00:00:00"/>
    <d v="2025-10-14T00:00:00"/>
    <d v="2025-10-19T00:00:00"/>
    <s v="No"/>
    <m/>
    <d v="2025-11-01T00:00:00"/>
    <x v="10"/>
    <n v="2"/>
    <n v="5"/>
    <n v="5"/>
    <x v="0"/>
  </r>
  <r>
    <s v="L1381"/>
    <x v="3"/>
    <x v="0"/>
    <x v="16"/>
    <d v="2025-10-18T00:00:00"/>
    <d v="2025-10-22T00:00:00"/>
    <d v="2025-10-29T00:00:00"/>
    <s v="No"/>
    <m/>
    <d v="2025-11-17T00:00:00"/>
    <x v="1"/>
    <n v="1"/>
    <n v="4"/>
    <n v="7"/>
    <x v="1"/>
  </r>
  <r>
    <s v="L1382"/>
    <x v="1"/>
    <x v="0"/>
    <x v="9"/>
    <d v="2025-10-15T00:00:00"/>
    <d v="2025-10-17T00:00:00"/>
    <d v="2025-10-20T00:00:00"/>
    <s v="No"/>
    <m/>
    <d v="2025-11-16T00:00:00"/>
    <x v="8"/>
    <n v="3"/>
    <n v="2"/>
    <n v="3"/>
    <x v="0"/>
  </r>
  <r>
    <s v="L1383"/>
    <x v="0"/>
    <x v="2"/>
    <x v="18"/>
    <d v="2025-10-21T00:00:00"/>
    <d v="2025-10-23T00:00:00"/>
    <d v="2025-10-28T00:00:00"/>
    <s v="No"/>
    <m/>
    <d v="2025-11-18T00:00:00"/>
    <x v="3"/>
    <n v="1"/>
    <n v="2"/>
    <n v="5"/>
    <x v="2"/>
  </r>
  <r>
    <s v="L1384"/>
    <x v="1"/>
    <x v="2"/>
    <x v="22"/>
    <d v="2025-10-30T00:00:00"/>
    <d v="2025-11-03T00:00:00"/>
    <d v="2025-11-05T00:00:00"/>
    <s v="Yes"/>
    <s v="Model Unavailable"/>
    <m/>
    <x v="2"/>
    <n v="5"/>
    <n v="4"/>
    <n v="2"/>
    <x v="0"/>
  </r>
  <r>
    <s v="L1385"/>
    <x v="2"/>
    <x v="1"/>
    <x v="6"/>
    <m/>
    <m/>
    <m/>
    <s v="Yes"/>
    <s v="Price"/>
    <m/>
    <x v="2"/>
    <m/>
    <n v="0"/>
    <n v="0"/>
    <x v="0"/>
  </r>
  <r>
    <s v="L1386"/>
    <x v="2"/>
    <x v="0"/>
    <x v="0"/>
    <d v="2025-10-26T00:00:00"/>
    <d v="2025-10-29T00:00:00"/>
    <d v="2025-11-01T00:00:00"/>
    <s v="No"/>
    <m/>
    <d v="2025-11-24T00:00:00"/>
    <x v="7"/>
    <n v="5"/>
    <n v="3"/>
    <n v="3"/>
    <x v="0"/>
  </r>
  <r>
    <s v="L1387"/>
    <x v="3"/>
    <x v="0"/>
    <x v="11"/>
    <d v="2025-10-20T00:00:00"/>
    <d v="2025-10-22T00:00:00"/>
    <d v="2025-10-27T00:00:00"/>
    <s v="Yes"/>
    <s v="Price"/>
    <m/>
    <x v="2"/>
    <n v="5"/>
    <n v="2"/>
    <n v="5"/>
    <x v="0"/>
  </r>
  <r>
    <s v="L1388"/>
    <x v="0"/>
    <x v="0"/>
    <x v="22"/>
    <d v="2025-10-26T00:00:00"/>
    <d v="2025-10-29T00:00:00"/>
    <d v="2025-10-31T00:00:00"/>
    <s v="No"/>
    <m/>
    <d v="2025-11-18T00:00:00"/>
    <x v="9"/>
    <n v="1"/>
    <n v="3"/>
    <n v="2"/>
    <x v="0"/>
  </r>
  <r>
    <s v="L1389"/>
    <x v="2"/>
    <x v="0"/>
    <x v="30"/>
    <d v="2025-10-05T00:00:00"/>
    <d v="2025-10-07T00:00:00"/>
    <d v="2025-10-14T00:00:00"/>
    <s v="No"/>
    <m/>
    <d v="2025-11-05T00:00:00"/>
    <x v="5"/>
    <n v="3"/>
    <n v="2"/>
    <n v="7"/>
    <x v="0"/>
  </r>
  <r>
    <s v="L1390"/>
    <x v="2"/>
    <x v="2"/>
    <x v="28"/>
    <d v="2025-10-12T00:00:00"/>
    <d v="2025-10-13T00:00:00"/>
    <d v="2025-10-15T00:00:00"/>
    <s v="No"/>
    <m/>
    <d v="2025-11-14T00:00:00"/>
    <x v="10"/>
    <n v="5"/>
    <n v="1"/>
    <n v="2"/>
    <x v="0"/>
  </r>
  <r>
    <s v="L1391"/>
    <x v="0"/>
    <x v="0"/>
    <x v="17"/>
    <d v="2025-10-11T00:00:00"/>
    <d v="2025-10-12T00:00:00"/>
    <d v="2025-10-14T00:00:00"/>
    <s v="No"/>
    <m/>
    <d v="2025-11-08T00:00:00"/>
    <x v="8"/>
    <n v="2"/>
    <n v="1"/>
    <n v="2"/>
    <x v="0"/>
  </r>
  <r>
    <s v="L1392"/>
    <x v="1"/>
    <x v="0"/>
    <x v="21"/>
    <d v="2025-10-23T00:00:00"/>
    <d v="2025-10-27T00:00:00"/>
    <d v="2025-10-31T00:00:00"/>
    <s v="No"/>
    <m/>
    <d v="2025-11-28T00:00:00"/>
    <x v="5"/>
    <n v="5"/>
    <n v="4"/>
    <n v="4"/>
    <x v="0"/>
  </r>
  <r>
    <s v="L1393"/>
    <x v="1"/>
    <x v="1"/>
    <x v="13"/>
    <m/>
    <m/>
    <m/>
    <s v="Yes"/>
    <s v="Other"/>
    <m/>
    <x v="2"/>
    <m/>
    <n v="0"/>
    <n v="0"/>
    <x v="0"/>
  </r>
  <r>
    <s v="L1394"/>
    <x v="3"/>
    <x v="2"/>
    <x v="20"/>
    <d v="2025-11-03T00:00:00"/>
    <d v="2025-11-08T00:00:00"/>
    <d v="2025-11-12T00:00:00"/>
    <s v="No"/>
    <m/>
    <d v="2025-12-11T00:00:00"/>
    <x v="0"/>
    <n v="4"/>
    <n v="5"/>
    <n v="4"/>
    <x v="0"/>
  </r>
  <r>
    <s v="L1395"/>
    <x v="1"/>
    <x v="0"/>
    <x v="29"/>
    <d v="2025-10-12T00:00:00"/>
    <d v="2025-10-13T00:00:00"/>
    <d v="2025-10-17T00:00:00"/>
    <s v="No"/>
    <m/>
    <d v="2025-11-11T00:00:00"/>
    <x v="1"/>
    <n v="2"/>
    <n v="1"/>
    <n v="4"/>
    <x v="1"/>
  </r>
  <r>
    <s v="L1396"/>
    <x v="0"/>
    <x v="0"/>
    <x v="11"/>
    <d v="2025-10-17T00:00:00"/>
    <d v="2025-10-19T00:00:00"/>
    <d v="2025-10-22T00:00:00"/>
    <s v="No"/>
    <m/>
    <d v="2025-11-02T00:00:00"/>
    <x v="5"/>
    <n v="2"/>
    <n v="2"/>
    <n v="3"/>
    <x v="0"/>
  </r>
  <r>
    <s v="L1397"/>
    <x v="2"/>
    <x v="0"/>
    <x v="10"/>
    <d v="2025-10-31T00:00:00"/>
    <d v="2025-11-02T00:00:00"/>
    <d v="2025-11-07T00:00:00"/>
    <s v="No"/>
    <m/>
    <d v="2025-11-22T00:00:00"/>
    <x v="0"/>
    <n v="2"/>
    <n v="2"/>
    <n v="5"/>
    <x v="0"/>
  </r>
  <r>
    <s v="L1398"/>
    <x v="1"/>
    <x v="0"/>
    <x v="12"/>
    <d v="2025-10-28T00:00:00"/>
    <d v="2025-10-29T00:00:00"/>
    <d v="2025-11-01T00:00:00"/>
    <s v="No"/>
    <m/>
    <d v="2025-11-19T00:00:00"/>
    <x v="5"/>
    <n v="5"/>
    <n v="1"/>
    <n v="3"/>
    <x v="0"/>
  </r>
  <r>
    <s v="L1399"/>
    <x v="3"/>
    <x v="0"/>
    <x v="6"/>
    <d v="2025-10-18T00:00:00"/>
    <d v="2025-10-19T00:00:00"/>
    <d v="2025-10-26T00:00:00"/>
    <s v="No"/>
    <m/>
    <d v="2025-11-17T00:00:00"/>
    <x v="11"/>
    <n v="2"/>
    <n v="1"/>
    <n v="7"/>
    <x v="1"/>
  </r>
  <r>
    <s v="L1400"/>
    <x v="1"/>
    <x v="0"/>
    <x v="7"/>
    <d v="2025-10-08T00:00:00"/>
    <d v="2025-10-13T00:00:00"/>
    <d v="2025-10-20T00:00:00"/>
    <s v="No"/>
    <m/>
    <d v="2025-11-03T00:00:00"/>
    <x v="10"/>
    <n v="4"/>
    <n v="5"/>
    <n v="7"/>
    <x v="0"/>
  </r>
  <r>
    <s v="L1401"/>
    <x v="0"/>
    <x v="0"/>
    <x v="2"/>
    <d v="2025-10-02T00:00:00"/>
    <d v="2025-10-03T00:00:00"/>
    <d v="2025-10-06T00:00:00"/>
    <s v="No"/>
    <m/>
    <d v="2025-11-04T00:00:00"/>
    <x v="1"/>
    <n v="1"/>
    <n v="1"/>
    <n v="3"/>
    <x v="1"/>
  </r>
  <r>
    <s v="L1402"/>
    <x v="3"/>
    <x v="0"/>
    <x v="0"/>
    <d v="2025-10-25T00:00:00"/>
    <d v="2025-10-29T00:00:00"/>
    <d v="2025-10-31T00:00:00"/>
    <s v="No"/>
    <m/>
    <d v="2025-11-29T00:00:00"/>
    <x v="11"/>
    <n v="4"/>
    <n v="4"/>
    <n v="2"/>
    <x v="1"/>
  </r>
  <r>
    <s v="L1403"/>
    <x v="1"/>
    <x v="1"/>
    <x v="18"/>
    <m/>
    <m/>
    <m/>
    <s v="Yes"/>
    <s v="Changed Mind"/>
    <m/>
    <x v="2"/>
    <m/>
    <n v="0"/>
    <n v="0"/>
    <x v="0"/>
  </r>
  <r>
    <s v="L1404"/>
    <x v="3"/>
    <x v="0"/>
    <x v="19"/>
    <d v="2025-10-29T00:00:00"/>
    <d v="2025-11-03T00:00:00"/>
    <d v="2025-11-09T00:00:00"/>
    <s v="Yes"/>
    <s v="Other"/>
    <m/>
    <x v="2"/>
    <n v="3"/>
    <n v="5"/>
    <n v="6"/>
    <x v="0"/>
  </r>
  <r>
    <s v="L1405"/>
    <x v="0"/>
    <x v="0"/>
    <x v="24"/>
    <d v="2025-10-10T00:00:00"/>
    <d v="2025-10-11T00:00:00"/>
    <d v="2025-10-17T00:00:00"/>
    <s v="No"/>
    <m/>
    <d v="2025-11-08T00:00:00"/>
    <x v="11"/>
    <n v="2"/>
    <n v="1"/>
    <n v="6"/>
    <x v="1"/>
  </r>
  <r>
    <s v="L1406"/>
    <x v="2"/>
    <x v="2"/>
    <x v="12"/>
    <d v="2025-10-27T00:00:00"/>
    <d v="2025-10-29T00:00:00"/>
    <d v="2025-10-31T00:00:00"/>
    <s v="No"/>
    <m/>
    <d v="2025-11-11T00:00:00"/>
    <x v="11"/>
    <n v="4"/>
    <n v="2"/>
    <n v="2"/>
    <x v="1"/>
  </r>
  <r>
    <s v="L1407"/>
    <x v="0"/>
    <x v="1"/>
    <x v="14"/>
    <m/>
    <m/>
    <m/>
    <s v="Yes"/>
    <s v="Other"/>
    <m/>
    <x v="2"/>
    <m/>
    <n v="0"/>
    <n v="0"/>
    <x v="0"/>
  </r>
  <r>
    <s v="L1408"/>
    <x v="0"/>
    <x v="2"/>
    <x v="29"/>
    <d v="2025-10-15T00:00:00"/>
    <d v="2025-10-16T00:00:00"/>
    <d v="2025-10-22T00:00:00"/>
    <s v="Yes"/>
    <s v="Other"/>
    <m/>
    <x v="2"/>
    <n v="5"/>
    <n v="1"/>
    <n v="6"/>
    <x v="0"/>
  </r>
  <r>
    <s v="L1409"/>
    <x v="0"/>
    <x v="2"/>
    <x v="21"/>
    <d v="2025-10-21T00:00:00"/>
    <d v="2025-10-25T00:00:00"/>
    <d v="2025-11-01T00:00:00"/>
    <s v="No"/>
    <m/>
    <d v="2025-11-23T00:00:00"/>
    <x v="10"/>
    <n v="3"/>
    <n v="4"/>
    <n v="7"/>
    <x v="0"/>
  </r>
  <r>
    <s v="L1410"/>
    <x v="0"/>
    <x v="2"/>
    <x v="2"/>
    <d v="2025-10-05T00:00:00"/>
    <d v="2025-10-09T00:00:00"/>
    <d v="2025-10-12T00:00:00"/>
    <s v="No"/>
    <m/>
    <d v="2025-11-01T00:00:00"/>
    <x v="10"/>
    <n v="4"/>
    <n v="4"/>
    <n v="3"/>
    <x v="0"/>
  </r>
  <r>
    <s v="L1411"/>
    <x v="2"/>
    <x v="0"/>
    <x v="21"/>
    <d v="2025-10-20T00:00:00"/>
    <d v="2025-10-22T00:00:00"/>
    <d v="2025-10-27T00:00:00"/>
    <s v="No"/>
    <m/>
    <d v="2025-11-13T00:00:00"/>
    <x v="4"/>
    <n v="2"/>
    <n v="2"/>
    <n v="5"/>
    <x v="2"/>
  </r>
  <r>
    <s v="L1412"/>
    <x v="2"/>
    <x v="2"/>
    <x v="4"/>
    <d v="2025-10-19T00:00:00"/>
    <d v="2025-10-24T00:00:00"/>
    <d v="2025-10-28T00:00:00"/>
    <s v="No"/>
    <m/>
    <d v="2025-11-08T00:00:00"/>
    <x v="11"/>
    <n v="5"/>
    <n v="5"/>
    <n v="4"/>
    <x v="1"/>
  </r>
  <r>
    <s v="L1413"/>
    <x v="3"/>
    <x v="2"/>
    <x v="25"/>
    <d v="2025-10-05T00:00:00"/>
    <d v="2025-10-07T00:00:00"/>
    <d v="2025-10-14T00:00:00"/>
    <s v="No"/>
    <m/>
    <d v="2025-11-08T00:00:00"/>
    <x v="9"/>
    <n v="2"/>
    <n v="2"/>
    <n v="7"/>
    <x v="0"/>
  </r>
  <r>
    <s v="L1414"/>
    <x v="1"/>
    <x v="2"/>
    <x v="24"/>
    <d v="2025-10-11T00:00:00"/>
    <d v="2025-10-12T00:00:00"/>
    <d v="2025-10-15T00:00:00"/>
    <s v="Yes"/>
    <s v="Price"/>
    <m/>
    <x v="2"/>
    <n v="3"/>
    <n v="1"/>
    <n v="3"/>
    <x v="0"/>
  </r>
  <r>
    <s v="L1415"/>
    <x v="2"/>
    <x v="2"/>
    <x v="5"/>
    <d v="2025-10-31T00:00:00"/>
    <d v="2025-11-02T00:00:00"/>
    <d v="2025-11-09T00:00:00"/>
    <s v="No"/>
    <m/>
    <d v="2025-11-27T00:00:00"/>
    <x v="6"/>
    <n v="4"/>
    <n v="2"/>
    <n v="7"/>
    <x v="0"/>
  </r>
  <r>
    <s v="L1416"/>
    <x v="2"/>
    <x v="0"/>
    <x v="20"/>
    <d v="2025-11-01T00:00:00"/>
    <d v="2025-11-06T00:00:00"/>
    <d v="2025-11-13T00:00:00"/>
    <s v="No"/>
    <m/>
    <d v="2025-12-04T00:00:00"/>
    <x v="8"/>
    <n v="2"/>
    <n v="5"/>
    <n v="7"/>
    <x v="0"/>
  </r>
  <r>
    <s v="L1417"/>
    <x v="1"/>
    <x v="0"/>
    <x v="7"/>
    <d v="2025-10-07T00:00:00"/>
    <d v="2025-10-10T00:00:00"/>
    <d v="2025-10-13T00:00:00"/>
    <s v="No"/>
    <m/>
    <d v="2025-10-23T00:00:00"/>
    <x v="4"/>
    <n v="3"/>
    <n v="3"/>
    <n v="3"/>
    <x v="2"/>
  </r>
  <r>
    <s v="L1418"/>
    <x v="2"/>
    <x v="0"/>
    <x v="11"/>
    <d v="2025-10-20T00:00:00"/>
    <d v="2025-10-22T00:00:00"/>
    <d v="2025-10-27T00:00:00"/>
    <s v="No"/>
    <m/>
    <d v="2025-11-16T00:00:00"/>
    <x v="3"/>
    <n v="5"/>
    <n v="2"/>
    <n v="5"/>
    <x v="2"/>
  </r>
  <r>
    <s v="L1419"/>
    <x v="0"/>
    <x v="0"/>
    <x v="8"/>
    <d v="2025-11-04T00:00:00"/>
    <d v="2025-11-09T00:00:00"/>
    <d v="2025-11-15T00:00:00"/>
    <s v="No"/>
    <m/>
    <d v="2025-12-04T00:00:00"/>
    <x v="7"/>
    <n v="4"/>
    <n v="5"/>
    <n v="6"/>
    <x v="0"/>
  </r>
  <r>
    <s v="L1420"/>
    <x v="0"/>
    <x v="0"/>
    <x v="7"/>
    <d v="2025-10-08T00:00:00"/>
    <d v="2025-10-11T00:00:00"/>
    <d v="2025-10-18T00:00:00"/>
    <s v="No"/>
    <m/>
    <d v="2025-11-06T00:00:00"/>
    <x v="10"/>
    <n v="4"/>
    <n v="3"/>
    <n v="7"/>
    <x v="0"/>
  </r>
  <r>
    <s v="L1421"/>
    <x v="1"/>
    <x v="2"/>
    <x v="0"/>
    <d v="2025-10-24T00:00:00"/>
    <d v="2025-10-29T00:00:00"/>
    <d v="2025-11-03T00:00:00"/>
    <s v="No"/>
    <m/>
    <d v="2025-11-21T00:00:00"/>
    <x v="11"/>
    <n v="3"/>
    <n v="5"/>
    <n v="5"/>
    <x v="1"/>
  </r>
  <r>
    <s v="L1422"/>
    <x v="3"/>
    <x v="0"/>
    <x v="5"/>
    <d v="2025-10-31T00:00:00"/>
    <d v="2025-11-05T00:00:00"/>
    <d v="2025-11-08T00:00:00"/>
    <s v="No"/>
    <m/>
    <d v="2025-12-03T00:00:00"/>
    <x v="0"/>
    <n v="4"/>
    <n v="5"/>
    <n v="3"/>
    <x v="0"/>
  </r>
  <r>
    <s v="L1423"/>
    <x v="3"/>
    <x v="1"/>
    <x v="13"/>
    <m/>
    <m/>
    <m/>
    <s v="Yes"/>
    <s v="Price"/>
    <m/>
    <x v="2"/>
    <m/>
    <n v="0"/>
    <n v="0"/>
    <x v="0"/>
  </r>
  <r>
    <s v="L1424"/>
    <x v="1"/>
    <x v="0"/>
    <x v="6"/>
    <d v="2025-10-21T00:00:00"/>
    <d v="2025-10-24T00:00:00"/>
    <d v="2025-10-26T00:00:00"/>
    <s v="No"/>
    <m/>
    <d v="2025-11-08T00:00:00"/>
    <x v="9"/>
    <n v="5"/>
    <n v="3"/>
    <n v="2"/>
    <x v="0"/>
  </r>
  <r>
    <s v="L1425"/>
    <x v="1"/>
    <x v="2"/>
    <x v="20"/>
    <d v="2025-11-04T00:00:00"/>
    <d v="2025-11-06T00:00:00"/>
    <d v="2025-11-08T00:00:00"/>
    <s v="No"/>
    <m/>
    <d v="2025-11-25T00:00:00"/>
    <x v="9"/>
    <n v="5"/>
    <n v="2"/>
    <n v="2"/>
    <x v="0"/>
  </r>
  <r>
    <s v="L1426"/>
    <x v="0"/>
    <x v="0"/>
    <x v="12"/>
    <d v="2025-10-27T00:00:00"/>
    <d v="2025-10-30T00:00:00"/>
    <d v="2025-11-02T00:00:00"/>
    <s v="No"/>
    <m/>
    <d v="2025-11-16T00:00:00"/>
    <x v="5"/>
    <n v="4"/>
    <n v="3"/>
    <n v="3"/>
    <x v="0"/>
  </r>
  <r>
    <s v="L1427"/>
    <x v="3"/>
    <x v="0"/>
    <x v="29"/>
    <d v="2025-10-12T00:00:00"/>
    <d v="2025-10-14T00:00:00"/>
    <d v="2025-10-16T00:00:00"/>
    <s v="No"/>
    <m/>
    <d v="2025-11-04T00:00:00"/>
    <x v="11"/>
    <n v="2"/>
    <n v="2"/>
    <n v="2"/>
    <x v="1"/>
  </r>
  <r>
    <s v="L1428"/>
    <x v="2"/>
    <x v="0"/>
    <x v="16"/>
    <d v="2025-10-19T00:00:00"/>
    <d v="2025-10-24T00:00:00"/>
    <d v="2025-10-30T00:00:00"/>
    <s v="No"/>
    <m/>
    <d v="2025-11-23T00:00:00"/>
    <x v="1"/>
    <n v="2"/>
    <n v="5"/>
    <n v="6"/>
    <x v="1"/>
  </r>
  <r>
    <s v="L1429"/>
    <x v="0"/>
    <x v="2"/>
    <x v="12"/>
    <d v="2025-10-28T00:00:00"/>
    <d v="2025-10-30T00:00:00"/>
    <d v="2025-11-06T00:00:00"/>
    <s v="No"/>
    <m/>
    <d v="2025-11-26T00:00:00"/>
    <x v="5"/>
    <n v="5"/>
    <n v="2"/>
    <n v="7"/>
    <x v="0"/>
  </r>
  <r>
    <s v="L1430"/>
    <x v="1"/>
    <x v="2"/>
    <x v="17"/>
    <d v="2025-10-11T00:00:00"/>
    <d v="2025-10-15T00:00:00"/>
    <d v="2025-10-20T00:00:00"/>
    <s v="No"/>
    <m/>
    <d v="2025-11-07T00:00:00"/>
    <x v="4"/>
    <n v="2"/>
    <n v="4"/>
    <n v="5"/>
    <x v="2"/>
  </r>
  <r>
    <s v="L1431"/>
    <x v="3"/>
    <x v="2"/>
    <x v="4"/>
    <d v="2025-10-17T00:00:00"/>
    <d v="2025-10-20T00:00:00"/>
    <d v="2025-10-24T00:00:00"/>
    <s v="No"/>
    <m/>
    <d v="2025-11-16T00:00:00"/>
    <x v="8"/>
    <n v="3"/>
    <n v="3"/>
    <n v="4"/>
    <x v="0"/>
  </r>
  <r>
    <s v="L1432"/>
    <x v="2"/>
    <x v="1"/>
    <x v="5"/>
    <m/>
    <m/>
    <m/>
    <s v="Yes"/>
    <s v="Other"/>
    <m/>
    <x v="2"/>
    <m/>
    <n v="0"/>
    <n v="0"/>
    <x v="0"/>
  </r>
  <r>
    <s v="L1433"/>
    <x v="2"/>
    <x v="0"/>
    <x v="6"/>
    <d v="2025-10-17T00:00:00"/>
    <d v="2025-10-20T00:00:00"/>
    <d v="2025-10-25T00:00:00"/>
    <s v="No"/>
    <m/>
    <d v="2025-11-23T00:00:00"/>
    <x v="10"/>
    <n v="1"/>
    <n v="3"/>
    <n v="5"/>
    <x v="0"/>
  </r>
  <r>
    <s v="L1434"/>
    <x v="0"/>
    <x v="2"/>
    <x v="6"/>
    <d v="2025-10-20T00:00:00"/>
    <d v="2025-10-21T00:00:00"/>
    <d v="2025-10-25T00:00:00"/>
    <s v="No"/>
    <m/>
    <d v="2025-11-24T00:00:00"/>
    <x v="9"/>
    <n v="4"/>
    <n v="1"/>
    <n v="4"/>
    <x v="0"/>
  </r>
  <r>
    <s v="L1435"/>
    <x v="3"/>
    <x v="2"/>
    <x v="24"/>
    <d v="2025-10-11T00:00:00"/>
    <d v="2025-10-16T00:00:00"/>
    <d v="2025-10-19T00:00:00"/>
    <s v="No"/>
    <m/>
    <d v="2025-10-31T00:00:00"/>
    <x v="11"/>
    <n v="3"/>
    <n v="5"/>
    <n v="3"/>
    <x v="1"/>
  </r>
  <r>
    <s v="L1436"/>
    <x v="3"/>
    <x v="0"/>
    <x v="11"/>
    <d v="2025-10-20T00:00:00"/>
    <d v="2025-10-25T00:00:00"/>
    <d v="2025-10-28T00:00:00"/>
    <s v="No"/>
    <m/>
    <d v="2025-11-13T00:00:00"/>
    <x v="9"/>
    <n v="5"/>
    <n v="5"/>
    <n v="3"/>
    <x v="0"/>
  </r>
  <r>
    <s v="L1437"/>
    <x v="1"/>
    <x v="2"/>
    <x v="21"/>
    <d v="2025-10-19T00:00:00"/>
    <d v="2025-10-21T00:00:00"/>
    <d v="2025-10-25T00:00:00"/>
    <s v="No"/>
    <m/>
    <d v="2025-11-18T00:00:00"/>
    <x v="1"/>
    <n v="1"/>
    <n v="2"/>
    <n v="4"/>
    <x v="1"/>
  </r>
  <r>
    <s v="L1438"/>
    <x v="3"/>
    <x v="2"/>
    <x v="13"/>
    <d v="2025-10-10T00:00:00"/>
    <d v="2025-10-14T00:00:00"/>
    <d v="2025-10-21T00:00:00"/>
    <s v="No"/>
    <m/>
    <d v="2025-11-06T00:00:00"/>
    <x v="11"/>
    <n v="5"/>
    <n v="4"/>
    <n v="7"/>
    <x v="1"/>
  </r>
  <r>
    <s v="L1439"/>
    <x v="3"/>
    <x v="1"/>
    <x v="27"/>
    <m/>
    <m/>
    <m/>
    <s v="Yes"/>
    <s v="Price"/>
    <m/>
    <x v="2"/>
    <m/>
    <n v="0"/>
    <n v="0"/>
    <x v="0"/>
  </r>
  <r>
    <s v="L1440"/>
    <x v="0"/>
    <x v="2"/>
    <x v="28"/>
    <d v="2025-10-08T00:00:00"/>
    <d v="2025-10-13T00:00:00"/>
    <d v="2025-10-15T00:00:00"/>
    <s v="No"/>
    <m/>
    <d v="2025-11-07T00:00:00"/>
    <x v="10"/>
    <n v="1"/>
    <n v="5"/>
    <n v="2"/>
    <x v="0"/>
  </r>
  <r>
    <s v="L1441"/>
    <x v="3"/>
    <x v="0"/>
    <x v="20"/>
    <d v="2025-11-02T00:00:00"/>
    <d v="2025-11-06T00:00:00"/>
    <d v="2025-11-09T00:00:00"/>
    <s v="No"/>
    <m/>
    <d v="2025-12-04T00:00:00"/>
    <x v="1"/>
    <n v="3"/>
    <n v="4"/>
    <n v="3"/>
    <x v="1"/>
  </r>
  <r>
    <s v="L1442"/>
    <x v="2"/>
    <x v="1"/>
    <x v="18"/>
    <m/>
    <m/>
    <m/>
    <s v="Yes"/>
    <s v="Changed Mind"/>
    <m/>
    <x v="2"/>
    <m/>
    <n v="0"/>
    <n v="0"/>
    <x v="0"/>
  </r>
  <r>
    <s v="L1443"/>
    <x v="0"/>
    <x v="0"/>
    <x v="16"/>
    <d v="2025-10-18T00:00:00"/>
    <d v="2025-10-19T00:00:00"/>
    <d v="2025-10-25T00:00:00"/>
    <s v="No"/>
    <m/>
    <d v="2025-11-20T00:00:00"/>
    <x v="5"/>
    <n v="1"/>
    <n v="1"/>
    <n v="6"/>
    <x v="0"/>
  </r>
  <r>
    <s v="L1444"/>
    <x v="0"/>
    <x v="2"/>
    <x v="15"/>
    <d v="2025-10-26T00:00:00"/>
    <d v="2025-10-29T00:00:00"/>
    <d v="2025-11-04T00:00:00"/>
    <s v="Yes"/>
    <s v="Other"/>
    <m/>
    <x v="2"/>
    <n v="2"/>
    <n v="3"/>
    <n v="6"/>
    <x v="0"/>
  </r>
  <r>
    <s v="L1445"/>
    <x v="1"/>
    <x v="2"/>
    <x v="10"/>
    <d v="2025-11-01T00:00:00"/>
    <d v="2025-11-05T00:00:00"/>
    <d v="2025-11-11T00:00:00"/>
    <s v="No"/>
    <m/>
    <d v="2025-12-02T00:00:00"/>
    <x v="9"/>
    <n v="3"/>
    <n v="4"/>
    <n v="6"/>
    <x v="0"/>
  </r>
  <r>
    <s v="L1446"/>
    <x v="3"/>
    <x v="1"/>
    <x v="13"/>
    <m/>
    <m/>
    <m/>
    <s v="Yes"/>
    <s v="Price"/>
    <m/>
    <x v="2"/>
    <m/>
    <n v="0"/>
    <n v="0"/>
    <x v="0"/>
  </r>
  <r>
    <s v="L1447"/>
    <x v="1"/>
    <x v="1"/>
    <x v="3"/>
    <m/>
    <m/>
    <m/>
    <s v="Yes"/>
    <s v="Model Unavailable"/>
    <m/>
    <x v="2"/>
    <m/>
    <n v="0"/>
    <n v="0"/>
    <x v="0"/>
  </r>
  <r>
    <s v="L1448"/>
    <x v="2"/>
    <x v="0"/>
    <x v="25"/>
    <d v="2025-10-07T00:00:00"/>
    <d v="2025-10-12T00:00:00"/>
    <d v="2025-10-19T00:00:00"/>
    <s v="No"/>
    <m/>
    <d v="2025-10-30T00:00:00"/>
    <x v="9"/>
    <n v="4"/>
    <n v="5"/>
    <n v="7"/>
    <x v="0"/>
  </r>
  <r>
    <s v="L1449"/>
    <x v="0"/>
    <x v="2"/>
    <x v="17"/>
    <d v="2025-10-14T00:00:00"/>
    <d v="2025-10-17T00:00:00"/>
    <d v="2025-10-23T00:00:00"/>
    <s v="No"/>
    <m/>
    <d v="2025-11-18T00:00:00"/>
    <x v="9"/>
    <n v="5"/>
    <n v="3"/>
    <n v="6"/>
    <x v="0"/>
  </r>
  <r>
    <s v="L1450"/>
    <x v="0"/>
    <x v="0"/>
    <x v="22"/>
    <d v="2025-10-27T00:00:00"/>
    <d v="2025-10-31T00:00:00"/>
    <d v="2025-11-04T00:00:00"/>
    <s v="No"/>
    <m/>
    <d v="2025-11-19T00:00:00"/>
    <x v="6"/>
    <n v="2"/>
    <n v="4"/>
    <n v="4"/>
    <x v="0"/>
  </r>
  <r>
    <s v="L1451"/>
    <x v="0"/>
    <x v="1"/>
    <x v="19"/>
    <m/>
    <m/>
    <m/>
    <s v="Yes"/>
    <s v="Other"/>
    <m/>
    <x v="2"/>
    <m/>
    <n v="0"/>
    <n v="0"/>
    <x v="0"/>
  </r>
  <r>
    <s v="L1452"/>
    <x v="2"/>
    <x v="0"/>
    <x v="3"/>
    <d v="2025-11-01T00:00:00"/>
    <d v="2025-11-05T00:00:00"/>
    <d v="2025-11-12T00:00:00"/>
    <s v="No"/>
    <m/>
    <d v="2025-11-24T00:00:00"/>
    <x v="8"/>
    <n v="4"/>
    <n v="4"/>
    <n v="7"/>
    <x v="0"/>
  </r>
  <r>
    <s v="L1453"/>
    <x v="2"/>
    <x v="1"/>
    <x v="4"/>
    <m/>
    <m/>
    <m/>
    <s v="Yes"/>
    <s v="Other"/>
    <m/>
    <x v="2"/>
    <m/>
    <n v="0"/>
    <n v="0"/>
    <x v="0"/>
  </r>
  <r>
    <s v="L1454"/>
    <x v="1"/>
    <x v="1"/>
    <x v="1"/>
    <m/>
    <m/>
    <m/>
    <s v="Yes"/>
    <s v="Changed Mind"/>
    <m/>
    <x v="2"/>
    <m/>
    <n v="0"/>
    <n v="0"/>
    <x v="0"/>
  </r>
  <r>
    <s v="L1455"/>
    <x v="1"/>
    <x v="0"/>
    <x v="20"/>
    <d v="2025-10-31T00:00:00"/>
    <d v="2025-11-02T00:00:00"/>
    <d v="2025-11-04T00:00:00"/>
    <s v="No"/>
    <m/>
    <d v="2025-11-23T00:00:00"/>
    <x v="3"/>
    <n v="1"/>
    <n v="2"/>
    <n v="2"/>
    <x v="2"/>
  </r>
  <r>
    <s v="L1456"/>
    <x v="1"/>
    <x v="0"/>
    <x v="19"/>
    <d v="2025-10-28T00:00:00"/>
    <d v="2025-10-31T00:00:00"/>
    <d v="2025-11-07T00:00:00"/>
    <s v="Yes"/>
    <s v="Financing Issue"/>
    <m/>
    <x v="2"/>
    <n v="2"/>
    <n v="3"/>
    <n v="7"/>
    <x v="0"/>
  </r>
  <r>
    <s v="L1457"/>
    <x v="3"/>
    <x v="0"/>
    <x v="16"/>
    <d v="2025-10-21T00:00:00"/>
    <d v="2025-10-25T00:00:00"/>
    <d v="2025-10-29T00:00:00"/>
    <s v="No"/>
    <m/>
    <d v="2025-11-24T00:00:00"/>
    <x v="7"/>
    <n v="4"/>
    <n v="4"/>
    <n v="4"/>
    <x v="0"/>
  </r>
  <r>
    <s v="L1458"/>
    <x v="0"/>
    <x v="2"/>
    <x v="17"/>
    <d v="2025-10-12T00:00:00"/>
    <d v="2025-10-14T00:00:00"/>
    <d v="2025-10-17T00:00:00"/>
    <s v="No"/>
    <m/>
    <d v="2025-11-08T00:00:00"/>
    <x v="7"/>
    <n v="3"/>
    <n v="2"/>
    <n v="3"/>
    <x v="0"/>
  </r>
  <r>
    <s v="L1459"/>
    <x v="0"/>
    <x v="0"/>
    <x v="5"/>
    <d v="2025-10-28T00:00:00"/>
    <d v="2025-11-02T00:00:00"/>
    <d v="2025-11-08T00:00:00"/>
    <s v="No"/>
    <m/>
    <d v="2025-11-22T00:00:00"/>
    <x v="10"/>
    <n v="1"/>
    <n v="5"/>
    <n v="6"/>
    <x v="0"/>
  </r>
  <r>
    <s v="L1460"/>
    <x v="1"/>
    <x v="0"/>
    <x v="2"/>
    <d v="2025-10-05T00:00:00"/>
    <d v="2025-10-09T00:00:00"/>
    <d v="2025-10-15T00:00:00"/>
    <s v="Yes"/>
    <s v="Financing Issue"/>
    <m/>
    <x v="2"/>
    <n v="4"/>
    <n v="4"/>
    <n v="6"/>
    <x v="0"/>
  </r>
  <r>
    <s v="L1461"/>
    <x v="0"/>
    <x v="1"/>
    <x v="29"/>
    <m/>
    <m/>
    <m/>
    <s v="Yes"/>
    <s v="Changed Mind"/>
    <m/>
    <x v="2"/>
    <m/>
    <n v="0"/>
    <n v="0"/>
    <x v="0"/>
  </r>
  <r>
    <s v="L1462"/>
    <x v="1"/>
    <x v="1"/>
    <x v="15"/>
    <m/>
    <m/>
    <m/>
    <s v="Yes"/>
    <s v="Changed Mind"/>
    <m/>
    <x v="2"/>
    <m/>
    <n v="0"/>
    <n v="0"/>
    <x v="0"/>
  </r>
  <r>
    <s v="L1463"/>
    <x v="3"/>
    <x v="0"/>
    <x v="29"/>
    <d v="2025-10-11T00:00:00"/>
    <d v="2025-10-13T00:00:00"/>
    <d v="2025-10-19T00:00:00"/>
    <s v="No"/>
    <m/>
    <d v="2025-11-14T00:00:00"/>
    <x v="10"/>
    <n v="1"/>
    <n v="2"/>
    <n v="6"/>
    <x v="0"/>
  </r>
  <r>
    <s v="L1464"/>
    <x v="3"/>
    <x v="2"/>
    <x v="5"/>
    <d v="2025-10-31T00:00:00"/>
    <d v="2025-11-02T00:00:00"/>
    <d v="2025-11-05T00:00:00"/>
    <s v="No"/>
    <m/>
    <d v="2025-12-03T00:00:00"/>
    <x v="8"/>
    <n v="4"/>
    <n v="2"/>
    <n v="3"/>
    <x v="0"/>
  </r>
  <r>
    <s v="L1465"/>
    <x v="2"/>
    <x v="2"/>
    <x v="23"/>
    <d v="2025-10-24T00:00:00"/>
    <d v="2025-10-27T00:00:00"/>
    <d v="2025-11-03T00:00:00"/>
    <s v="No"/>
    <m/>
    <d v="2025-11-13T00:00:00"/>
    <x v="8"/>
    <n v="5"/>
    <n v="3"/>
    <n v="7"/>
    <x v="0"/>
  </r>
  <r>
    <s v="L1466"/>
    <x v="3"/>
    <x v="2"/>
    <x v="23"/>
    <d v="2025-10-22T00:00:00"/>
    <d v="2025-10-24T00:00:00"/>
    <d v="2025-10-29T00:00:00"/>
    <s v="No"/>
    <m/>
    <d v="2025-11-13T00:00:00"/>
    <x v="10"/>
    <n v="3"/>
    <n v="2"/>
    <n v="5"/>
    <x v="0"/>
  </r>
  <r>
    <s v="L1467"/>
    <x v="1"/>
    <x v="0"/>
    <x v="26"/>
    <d v="2025-10-24T00:00:00"/>
    <d v="2025-10-28T00:00:00"/>
    <d v="2025-11-01T00:00:00"/>
    <s v="No"/>
    <m/>
    <d v="2025-11-17T00:00:00"/>
    <x v="10"/>
    <n v="2"/>
    <n v="4"/>
    <n v="4"/>
    <x v="0"/>
  </r>
  <r>
    <s v="L1468"/>
    <x v="3"/>
    <x v="0"/>
    <x v="6"/>
    <d v="2025-10-20T00:00:00"/>
    <d v="2025-10-21T00:00:00"/>
    <d v="2025-10-28T00:00:00"/>
    <s v="No"/>
    <m/>
    <d v="2025-11-13T00:00:00"/>
    <x v="6"/>
    <n v="4"/>
    <n v="1"/>
    <n v="7"/>
    <x v="0"/>
  </r>
  <r>
    <s v="L1469"/>
    <x v="2"/>
    <x v="1"/>
    <x v="3"/>
    <m/>
    <m/>
    <m/>
    <s v="Yes"/>
    <s v="Changed Mind"/>
    <m/>
    <x v="2"/>
    <m/>
    <n v="0"/>
    <n v="0"/>
    <x v="0"/>
  </r>
  <r>
    <s v="L1470"/>
    <x v="0"/>
    <x v="0"/>
    <x v="13"/>
    <d v="2025-10-06T00:00:00"/>
    <d v="2025-10-11T00:00:00"/>
    <d v="2025-10-13T00:00:00"/>
    <s v="No"/>
    <m/>
    <d v="2025-10-24T00:00:00"/>
    <x v="11"/>
    <n v="1"/>
    <n v="5"/>
    <n v="2"/>
    <x v="1"/>
  </r>
  <r>
    <s v="L1471"/>
    <x v="1"/>
    <x v="1"/>
    <x v="11"/>
    <m/>
    <m/>
    <m/>
    <s v="Yes"/>
    <s v="Financing Issue"/>
    <m/>
    <x v="2"/>
    <m/>
    <n v="0"/>
    <n v="0"/>
    <x v="0"/>
  </r>
  <r>
    <s v="L1472"/>
    <x v="0"/>
    <x v="1"/>
    <x v="21"/>
    <m/>
    <m/>
    <m/>
    <s v="Yes"/>
    <s v="Changed Mind"/>
    <m/>
    <x v="2"/>
    <m/>
    <n v="0"/>
    <n v="0"/>
    <x v="0"/>
  </r>
  <r>
    <s v="L1473"/>
    <x v="2"/>
    <x v="0"/>
    <x v="6"/>
    <d v="2025-10-19T00:00:00"/>
    <d v="2025-10-23T00:00:00"/>
    <d v="2025-10-26T00:00:00"/>
    <s v="No"/>
    <m/>
    <d v="2025-11-12T00:00:00"/>
    <x v="1"/>
    <n v="3"/>
    <n v="4"/>
    <n v="3"/>
    <x v="1"/>
  </r>
  <r>
    <s v="L1474"/>
    <x v="2"/>
    <x v="1"/>
    <x v="9"/>
    <m/>
    <m/>
    <m/>
    <s v="Yes"/>
    <s v="Price"/>
    <m/>
    <x v="2"/>
    <m/>
    <n v="0"/>
    <n v="0"/>
    <x v="0"/>
  </r>
  <r>
    <s v="L1475"/>
    <x v="2"/>
    <x v="0"/>
    <x v="1"/>
    <d v="2025-10-13T00:00:00"/>
    <d v="2025-10-17T00:00:00"/>
    <d v="2025-10-22T00:00:00"/>
    <s v="Yes"/>
    <s v="Other"/>
    <m/>
    <x v="2"/>
    <n v="2"/>
    <n v="4"/>
    <n v="5"/>
    <x v="0"/>
  </r>
  <r>
    <s v="L1476"/>
    <x v="0"/>
    <x v="2"/>
    <x v="21"/>
    <d v="2025-10-19T00:00:00"/>
    <d v="2025-10-24T00:00:00"/>
    <d v="2025-10-29T00:00:00"/>
    <s v="No"/>
    <m/>
    <d v="2025-11-09T00:00:00"/>
    <x v="0"/>
    <n v="1"/>
    <n v="5"/>
    <n v="5"/>
    <x v="0"/>
  </r>
  <r>
    <s v="L1477"/>
    <x v="0"/>
    <x v="0"/>
    <x v="22"/>
    <d v="2025-10-28T00:00:00"/>
    <d v="2025-11-02T00:00:00"/>
    <d v="2025-11-04T00:00:00"/>
    <s v="Yes"/>
    <s v="Other"/>
    <m/>
    <x v="2"/>
    <n v="3"/>
    <n v="5"/>
    <n v="2"/>
    <x v="0"/>
  </r>
  <r>
    <s v="L1478"/>
    <x v="0"/>
    <x v="0"/>
    <x v="21"/>
    <d v="2025-10-19T00:00:00"/>
    <d v="2025-10-21T00:00:00"/>
    <d v="2025-10-24T00:00:00"/>
    <s v="No"/>
    <m/>
    <d v="2025-11-17T00:00:00"/>
    <x v="11"/>
    <n v="1"/>
    <n v="2"/>
    <n v="3"/>
    <x v="1"/>
  </r>
  <r>
    <s v="L1479"/>
    <x v="0"/>
    <x v="0"/>
    <x v="27"/>
    <d v="2025-10-16T00:00:00"/>
    <d v="2025-10-20T00:00:00"/>
    <d v="2025-10-25T00:00:00"/>
    <s v="Yes"/>
    <s v="Model Unavailable"/>
    <m/>
    <x v="2"/>
    <n v="3"/>
    <n v="4"/>
    <n v="5"/>
    <x v="0"/>
  </r>
  <r>
    <s v="L1480"/>
    <x v="2"/>
    <x v="0"/>
    <x v="11"/>
    <d v="2025-10-17T00:00:00"/>
    <d v="2025-10-19T00:00:00"/>
    <d v="2025-10-26T00:00:00"/>
    <s v="No"/>
    <m/>
    <d v="2025-11-06T00:00:00"/>
    <x v="0"/>
    <n v="2"/>
    <n v="2"/>
    <n v="7"/>
    <x v="0"/>
  </r>
  <r>
    <s v="L1481"/>
    <x v="2"/>
    <x v="0"/>
    <x v="20"/>
    <d v="2025-11-01T00:00:00"/>
    <d v="2025-11-04T00:00:00"/>
    <d v="2025-11-10T00:00:00"/>
    <s v="No"/>
    <m/>
    <d v="2025-12-01T00:00:00"/>
    <x v="1"/>
    <n v="2"/>
    <n v="3"/>
    <n v="6"/>
    <x v="1"/>
  </r>
  <r>
    <s v="L1482"/>
    <x v="1"/>
    <x v="0"/>
    <x v="1"/>
    <d v="2025-10-12T00:00:00"/>
    <d v="2025-10-14T00:00:00"/>
    <d v="2025-10-16T00:00:00"/>
    <s v="No"/>
    <m/>
    <d v="2025-11-01T00:00:00"/>
    <x v="7"/>
    <n v="1"/>
    <n v="2"/>
    <n v="2"/>
    <x v="0"/>
  </r>
  <r>
    <s v="L1483"/>
    <x v="1"/>
    <x v="0"/>
    <x v="3"/>
    <d v="2025-10-31T00:00:00"/>
    <d v="2025-11-03T00:00:00"/>
    <d v="2025-11-09T00:00:00"/>
    <s v="No"/>
    <m/>
    <d v="2025-11-27T00:00:00"/>
    <x v="7"/>
    <n v="3"/>
    <n v="3"/>
    <n v="6"/>
    <x v="0"/>
  </r>
  <r>
    <s v="L1484"/>
    <x v="0"/>
    <x v="0"/>
    <x v="28"/>
    <d v="2025-10-11T00:00:00"/>
    <d v="2025-10-12T00:00:00"/>
    <d v="2025-10-14T00:00:00"/>
    <s v="No"/>
    <m/>
    <d v="2025-11-04T00:00:00"/>
    <x v="5"/>
    <n v="4"/>
    <n v="1"/>
    <n v="2"/>
    <x v="0"/>
  </r>
  <r>
    <s v="L1485"/>
    <x v="3"/>
    <x v="0"/>
    <x v="12"/>
    <d v="2025-10-25T00:00:00"/>
    <d v="2025-10-29T00:00:00"/>
    <d v="2025-11-02T00:00:00"/>
    <s v="Yes"/>
    <s v="Model Unavailable"/>
    <m/>
    <x v="2"/>
    <n v="2"/>
    <n v="4"/>
    <n v="4"/>
    <x v="0"/>
  </r>
  <r>
    <s v="L1486"/>
    <x v="3"/>
    <x v="0"/>
    <x v="24"/>
    <d v="2025-10-12T00:00:00"/>
    <d v="2025-10-15T00:00:00"/>
    <d v="2025-10-19T00:00:00"/>
    <s v="No"/>
    <m/>
    <d v="2025-11-12T00:00:00"/>
    <x v="3"/>
    <n v="4"/>
    <n v="3"/>
    <n v="4"/>
    <x v="2"/>
  </r>
  <r>
    <s v="L1487"/>
    <x v="2"/>
    <x v="2"/>
    <x v="23"/>
    <d v="2025-10-23T00:00:00"/>
    <d v="2025-10-24T00:00:00"/>
    <d v="2025-10-27T00:00:00"/>
    <s v="No"/>
    <m/>
    <d v="2025-11-22T00:00:00"/>
    <x v="8"/>
    <n v="4"/>
    <n v="1"/>
    <n v="3"/>
    <x v="0"/>
  </r>
  <r>
    <s v="L1488"/>
    <x v="2"/>
    <x v="0"/>
    <x v="27"/>
    <d v="2025-10-18T00:00:00"/>
    <d v="2025-10-23T00:00:00"/>
    <d v="2025-10-28T00:00:00"/>
    <s v="No"/>
    <m/>
    <d v="2025-11-19T00:00:00"/>
    <x v="7"/>
    <n v="5"/>
    <n v="5"/>
    <n v="5"/>
    <x v="0"/>
  </r>
  <r>
    <s v="L1489"/>
    <x v="2"/>
    <x v="2"/>
    <x v="24"/>
    <d v="2025-10-09T00:00:00"/>
    <d v="2025-10-11T00:00:00"/>
    <d v="2025-10-17T00:00:00"/>
    <s v="No"/>
    <m/>
    <d v="2025-11-16T00:00:00"/>
    <x v="0"/>
    <n v="1"/>
    <n v="2"/>
    <n v="6"/>
    <x v="0"/>
  </r>
  <r>
    <s v="L1490"/>
    <x v="1"/>
    <x v="0"/>
    <x v="3"/>
    <d v="2025-10-29T00:00:00"/>
    <d v="2025-10-30T00:00:00"/>
    <d v="2025-11-04T00:00:00"/>
    <s v="No"/>
    <m/>
    <d v="2025-11-17T00:00:00"/>
    <x v="3"/>
    <n v="1"/>
    <n v="1"/>
    <n v="5"/>
    <x v="2"/>
  </r>
  <r>
    <s v="L1491"/>
    <x v="1"/>
    <x v="0"/>
    <x v="22"/>
    <d v="2025-10-26T00:00:00"/>
    <d v="2025-10-29T00:00:00"/>
    <d v="2025-11-02T00:00:00"/>
    <s v="Yes"/>
    <s v="Other"/>
    <m/>
    <x v="2"/>
    <n v="1"/>
    <n v="3"/>
    <n v="4"/>
    <x v="0"/>
  </r>
  <r>
    <s v="L1492"/>
    <x v="2"/>
    <x v="0"/>
    <x v="4"/>
    <d v="2025-10-17T00:00:00"/>
    <d v="2025-10-21T00:00:00"/>
    <d v="2025-10-27T00:00:00"/>
    <s v="No"/>
    <m/>
    <d v="2025-11-06T00:00:00"/>
    <x v="9"/>
    <n v="3"/>
    <n v="4"/>
    <n v="6"/>
    <x v="0"/>
  </r>
  <r>
    <s v="L1493"/>
    <x v="2"/>
    <x v="0"/>
    <x v="30"/>
    <d v="2025-10-04T00:00:00"/>
    <d v="2025-10-09T00:00:00"/>
    <d v="2025-10-16T00:00:00"/>
    <s v="No"/>
    <m/>
    <d v="2025-11-02T00:00:00"/>
    <x v="10"/>
    <n v="2"/>
    <n v="5"/>
    <n v="7"/>
    <x v="0"/>
  </r>
  <r>
    <s v="L1494"/>
    <x v="2"/>
    <x v="1"/>
    <x v="1"/>
    <m/>
    <m/>
    <m/>
    <s v="Yes"/>
    <s v="Price"/>
    <m/>
    <x v="2"/>
    <m/>
    <n v="0"/>
    <n v="0"/>
    <x v="0"/>
  </r>
  <r>
    <s v="L1495"/>
    <x v="3"/>
    <x v="1"/>
    <x v="15"/>
    <m/>
    <m/>
    <m/>
    <s v="Yes"/>
    <s v="Financing Issue"/>
    <m/>
    <x v="2"/>
    <m/>
    <n v="0"/>
    <n v="0"/>
    <x v="0"/>
  </r>
  <r>
    <s v="L1496"/>
    <x v="1"/>
    <x v="1"/>
    <x v="6"/>
    <m/>
    <m/>
    <m/>
    <s v="Yes"/>
    <s v="Financing Issue"/>
    <m/>
    <x v="2"/>
    <m/>
    <n v="0"/>
    <n v="0"/>
    <x v="0"/>
  </r>
  <r>
    <s v="L1497"/>
    <x v="3"/>
    <x v="1"/>
    <x v="12"/>
    <m/>
    <m/>
    <m/>
    <s v="Yes"/>
    <s v="Price"/>
    <m/>
    <x v="2"/>
    <m/>
    <n v="0"/>
    <n v="0"/>
    <x v="0"/>
  </r>
  <r>
    <s v="L1498"/>
    <x v="3"/>
    <x v="2"/>
    <x v="20"/>
    <d v="2025-11-01T00:00:00"/>
    <d v="2025-11-06T00:00:00"/>
    <d v="2025-11-09T00:00:00"/>
    <s v="No"/>
    <m/>
    <d v="2025-11-30T00:00:00"/>
    <x v="1"/>
    <n v="2"/>
    <n v="5"/>
    <n v="3"/>
    <x v="1"/>
  </r>
  <r>
    <s v="L1499"/>
    <x v="2"/>
    <x v="2"/>
    <x v="19"/>
    <d v="2025-10-31T00:00:00"/>
    <d v="2025-11-01T00:00:00"/>
    <d v="2025-11-06T00:00:00"/>
    <s v="No"/>
    <m/>
    <d v="2025-12-01T00:00:00"/>
    <x v="11"/>
    <n v="5"/>
    <n v="1"/>
    <n v="5"/>
    <x v="1"/>
  </r>
  <r>
    <s v="L1500"/>
    <x v="2"/>
    <x v="0"/>
    <x v="27"/>
    <d v="2025-10-18T00:00:00"/>
    <d v="2025-10-19T00:00:00"/>
    <d v="2025-10-21T00:00:00"/>
    <s v="No"/>
    <m/>
    <d v="2025-11-19T00:00:00"/>
    <x v="3"/>
    <n v="5"/>
    <n v="1"/>
    <n v="2"/>
    <x v="2"/>
  </r>
  <r>
    <s v="L1501"/>
    <x v="0"/>
    <x v="2"/>
    <x v="27"/>
    <d v="2025-10-18T00:00:00"/>
    <d v="2025-10-20T00:00:00"/>
    <d v="2025-10-22T00:00:00"/>
    <s v="No"/>
    <m/>
    <d v="2025-11-15T00:00:00"/>
    <x v="8"/>
    <n v="5"/>
    <n v="2"/>
    <n v="2"/>
    <x v="0"/>
  </r>
  <r>
    <s v="L1502"/>
    <x v="0"/>
    <x v="0"/>
    <x v="26"/>
    <d v="2025-10-26T00:00:00"/>
    <d v="2025-10-31T00:00:00"/>
    <d v="2025-11-06T00:00:00"/>
    <s v="No"/>
    <m/>
    <d v="2025-11-21T00:00:00"/>
    <x v="7"/>
    <n v="4"/>
    <n v="5"/>
    <n v="6"/>
    <x v="0"/>
  </r>
  <r>
    <s v="L1503"/>
    <x v="3"/>
    <x v="0"/>
    <x v="19"/>
    <d v="2025-10-27T00:00:00"/>
    <d v="2025-11-01T00:00:00"/>
    <d v="2025-11-03T00:00:00"/>
    <s v="No"/>
    <m/>
    <d v="2025-11-28T00:00:00"/>
    <x v="4"/>
    <n v="1"/>
    <n v="5"/>
    <n v="2"/>
    <x v="2"/>
  </r>
  <r>
    <s v="L1504"/>
    <x v="1"/>
    <x v="0"/>
    <x v="5"/>
    <d v="2025-10-30T00:00:00"/>
    <d v="2025-11-01T00:00:00"/>
    <d v="2025-11-03T00:00:00"/>
    <s v="No"/>
    <m/>
    <d v="2025-12-01T00:00:00"/>
    <x v="10"/>
    <n v="3"/>
    <n v="2"/>
    <n v="2"/>
    <x v="0"/>
  </r>
  <r>
    <s v="L1505"/>
    <x v="2"/>
    <x v="0"/>
    <x v="0"/>
    <d v="2025-10-23T00:00:00"/>
    <d v="2025-10-27T00:00:00"/>
    <d v="2025-10-31T00:00:00"/>
    <s v="No"/>
    <m/>
    <d v="2025-11-27T00:00:00"/>
    <x v="4"/>
    <n v="2"/>
    <n v="4"/>
    <n v="4"/>
    <x v="2"/>
  </r>
  <r>
    <s v="L1506"/>
    <x v="2"/>
    <x v="0"/>
    <x v="13"/>
    <d v="2025-10-08T00:00:00"/>
    <d v="2025-10-10T00:00:00"/>
    <d v="2025-10-13T00:00:00"/>
    <s v="No"/>
    <m/>
    <d v="2025-11-03T00:00:00"/>
    <x v="7"/>
    <n v="3"/>
    <n v="2"/>
    <n v="3"/>
    <x v="0"/>
  </r>
  <r>
    <s v="L1507"/>
    <x v="3"/>
    <x v="0"/>
    <x v="6"/>
    <d v="2025-10-17T00:00:00"/>
    <d v="2025-10-20T00:00:00"/>
    <d v="2025-10-22T00:00:00"/>
    <s v="No"/>
    <m/>
    <d v="2025-11-12T00:00:00"/>
    <x v="7"/>
    <n v="1"/>
    <n v="3"/>
    <n v="2"/>
    <x v="0"/>
  </r>
  <r>
    <s v="L1508"/>
    <x v="0"/>
    <x v="1"/>
    <x v="8"/>
    <m/>
    <m/>
    <m/>
    <s v="Yes"/>
    <s v="Financing Issue"/>
    <m/>
    <x v="2"/>
    <m/>
    <n v="0"/>
    <n v="0"/>
    <x v="0"/>
  </r>
  <r>
    <s v="L1509"/>
    <x v="1"/>
    <x v="0"/>
    <x v="30"/>
    <d v="2025-10-03T00:00:00"/>
    <d v="2025-10-06T00:00:00"/>
    <d v="2025-10-08T00:00:00"/>
    <s v="No"/>
    <m/>
    <d v="2025-10-23T00:00:00"/>
    <x v="11"/>
    <n v="1"/>
    <n v="3"/>
    <n v="2"/>
    <x v="1"/>
  </r>
  <r>
    <s v="L1510"/>
    <x v="0"/>
    <x v="1"/>
    <x v="13"/>
    <m/>
    <m/>
    <m/>
    <s v="Yes"/>
    <s v="Changed Mind"/>
    <m/>
    <x v="2"/>
    <m/>
    <n v="0"/>
    <n v="0"/>
    <x v="0"/>
  </r>
  <r>
    <s v="L1511"/>
    <x v="0"/>
    <x v="2"/>
    <x v="16"/>
    <d v="2025-10-19T00:00:00"/>
    <d v="2025-10-20T00:00:00"/>
    <d v="2025-10-25T00:00:00"/>
    <s v="No"/>
    <m/>
    <d v="2025-11-12T00:00:00"/>
    <x v="11"/>
    <n v="2"/>
    <n v="1"/>
    <n v="5"/>
    <x v="1"/>
  </r>
  <r>
    <s v="L1512"/>
    <x v="0"/>
    <x v="1"/>
    <x v="8"/>
    <m/>
    <m/>
    <m/>
    <s v="Yes"/>
    <s v="Other"/>
    <m/>
    <x v="2"/>
    <m/>
    <n v="0"/>
    <n v="0"/>
    <x v="0"/>
  </r>
  <r>
    <s v="L1513"/>
    <x v="0"/>
    <x v="0"/>
    <x v="23"/>
    <d v="2025-10-23T00:00:00"/>
    <d v="2025-10-25T00:00:00"/>
    <d v="2025-10-31T00:00:00"/>
    <s v="No"/>
    <m/>
    <d v="2025-11-12T00:00:00"/>
    <x v="9"/>
    <n v="4"/>
    <n v="2"/>
    <n v="6"/>
    <x v="0"/>
  </r>
  <r>
    <s v="L1514"/>
    <x v="2"/>
    <x v="0"/>
    <x v="1"/>
    <d v="2025-10-16T00:00:00"/>
    <d v="2025-10-18T00:00:00"/>
    <d v="2025-10-22T00:00:00"/>
    <s v="No"/>
    <m/>
    <d v="2025-11-10T00:00:00"/>
    <x v="7"/>
    <n v="5"/>
    <n v="2"/>
    <n v="4"/>
    <x v="0"/>
  </r>
  <r>
    <s v="L1515"/>
    <x v="2"/>
    <x v="2"/>
    <x v="3"/>
    <d v="2025-11-01T00:00:00"/>
    <d v="2025-11-02T00:00:00"/>
    <d v="2025-11-09T00:00:00"/>
    <s v="Yes"/>
    <s v="Other"/>
    <m/>
    <x v="2"/>
    <n v="4"/>
    <n v="1"/>
    <n v="7"/>
    <x v="0"/>
  </r>
  <r>
    <s v="L1516"/>
    <x v="0"/>
    <x v="0"/>
    <x v="7"/>
    <d v="2025-10-05T00:00:00"/>
    <d v="2025-10-09T00:00:00"/>
    <d v="2025-10-16T00:00:00"/>
    <s v="No"/>
    <m/>
    <d v="2025-10-26T00:00:00"/>
    <x v="0"/>
    <n v="1"/>
    <n v="4"/>
    <n v="7"/>
    <x v="0"/>
  </r>
  <r>
    <s v="L1517"/>
    <x v="1"/>
    <x v="2"/>
    <x v="3"/>
    <d v="2025-10-29T00:00:00"/>
    <d v="2025-10-31T00:00:00"/>
    <d v="2025-11-06T00:00:00"/>
    <s v="No"/>
    <m/>
    <d v="2025-11-28T00:00:00"/>
    <x v="10"/>
    <n v="1"/>
    <n v="2"/>
    <n v="6"/>
    <x v="0"/>
  </r>
  <r>
    <s v="L1518"/>
    <x v="3"/>
    <x v="2"/>
    <x v="3"/>
    <d v="2025-11-01T00:00:00"/>
    <d v="2025-11-06T00:00:00"/>
    <d v="2025-11-11T00:00:00"/>
    <s v="No"/>
    <m/>
    <d v="2025-11-22T00:00:00"/>
    <x v="4"/>
    <n v="4"/>
    <n v="5"/>
    <n v="5"/>
    <x v="2"/>
  </r>
  <r>
    <s v="L1519"/>
    <x v="1"/>
    <x v="0"/>
    <x v="11"/>
    <d v="2025-10-20T00:00:00"/>
    <d v="2025-10-22T00:00:00"/>
    <d v="2025-10-27T00:00:00"/>
    <s v="No"/>
    <m/>
    <d v="2025-11-11T00:00:00"/>
    <x v="5"/>
    <n v="5"/>
    <n v="2"/>
    <n v="5"/>
    <x v="0"/>
  </r>
  <r>
    <s v="L1520"/>
    <x v="1"/>
    <x v="0"/>
    <x v="7"/>
    <d v="2025-10-09T00:00:00"/>
    <d v="2025-10-13T00:00:00"/>
    <d v="2025-10-20T00:00:00"/>
    <s v="No"/>
    <m/>
    <d v="2025-11-17T00:00:00"/>
    <x v="11"/>
    <n v="5"/>
    <n v="4"/>
    <n v="7"/>
    <x v="1"/>
  </r>
  <r>
    <s v="L1521"/>
    <x v="1"/>
    <x v="0"/>
    <x v="16"/>
    <d v="2025-10-18T00:00:00"/>
    <d v="2025-10-20T00:00:00"/>
    <d v="2025-10-25T00:00:00"/>
    <s v="No"/>
    <m/>
    <d v="2025-11-10T00:00:00"/>
    <x v="8"/>
    <n v="1"/>
    <n v="2"/>
    <n v="5"/>
    <x v="0"/>
  </r>
  <r>
    <s v="L1522"/>
    <x v="0"/>
    <x v="1"/>
    <x v="20"/>
    <m/>
    <m/>
    <m/>
    <s v="Yes"/>
    <s v="Price"/>
    <m/>
    <x v="2"/>
    <m/>
    <n v="0"/>
    <n v="0"/>
    <x v="0"/>
  </r>
  <r>
    <s v="L1523"/>
    <x v="2"/>
    <x v="0"/>
    <x v="11"/>
    <d v="2025-10-20T00:00:00"/>
    <d v="2025-10-25T00:00:00"/>
    <d v="2025-10-27T00:00:00"/>
    <s v="No"/>
    <m/>
    <d v="2025-11-13T00:00:00"/>
    <x v="8"/>
    <n v="5"/>
    <n v="5"/>
    <n v="2"/>
    <x v="0"/>
  </r>
  <r>
    <s v="L1524"/>
    <x v="1"/>
    <x v="0"/>
    <x v="2"/>
    <d v="2025-10-06T00:00:00"/>
    <d v="2025-10-09T00:00:00"/>
    <d v="2025-10-16T00:00:00"/>
    <s v="No"/>
    <m/>
    <d v="2025-11-15T00:00:00"/>
    <x v="1"/>
    <n v="5"/>
    <n v="3"/>
    <n v="7"/>
    <x v="1"/>
  </r>
  <r>
    <s v="L1525"/>
    <x v="0"/>
    <x v="2"/>
    <x v="15"/>
    <d v="2025-10-26T00:00:00"/>
    <d v="2025-10-29T00:00:00"/>
    <d v="2025-11-04T00:00:00"/>
    <s v="No"/>
    <m/>
    <d v="2025-11-21T00:00:00"/>
    <x v="1"/>
    <n v="2"/>
    <n v="3"/>
    <n v="6"/>
    <x v="1"/>
  </r>
  <r>
    <s v="L1526"/>
    <x v="1"/>
    <x v="0"/>
    <x v="13"/>
    <d v="2025-10-07T00:00:00"/>
    <d v="2025-10-11T00:00:00"/>
    <d v="2025-10-17T00:00:00"/>
    <s v="No"/>
    <m/>
    <d v="2025-11-02T00:00:00"/>
    <x v="5"/>
    <n v="2"/>
    <n v="4"/>
    <n v="6"/>
    <x v="0"/>
  </r>
  <r>
    <s v="L1527"/>
    <x v="1"/>
    <x v="0"/>
    <x v="4"/>
    <d v="2025-10-17T00:00:00"/>
    <d v="2025-10-21T00:00:00"/>
    <d v="2025-10-27T00:00:00"/>
    <s v="No"/>
    <m/>
    <d v="2025-11-14T00:00:00"/>
    <x v="8"/>
    <n v="3"/>
    <n v="4"/>
    <n v="6"/>
    <x v="0"/>
  </r>
  <r>
    <s v="L1528"/>
    <x v="0"/>
    <x v="1"/>
    <x v="3"/>
    <m/>
    <m/>
    <m/>
    <s v="Yes"/>
    <s v="Financing Issue"/>
    <m/>
    <x v="2"/>
    <m/>
    <n v="0"/>
    <n v="0"/>
    <x v="0"/>
  </r>
  <r>
    <s v="L1529"/>
    <x v="2"/>
    <x v="1"/>
    <x v="0"/>
    <m/>
    <m/>
    <m/>
    <s v="Yes"/>
    <s v="Model Unavailable"/>
    <m/>
    <x v="2"/>
    <m/>
    <n v="0"/>
    <n v="0"/>
    <x v="0"/>
  </r>
  <r>
    <s v="L1530"/>
    <x v="2"/>
    <x v="0"/>
    <x v="13"/>
    <d v="2025-10-09T00:00:00"/>
    <d v="2025-10-14T00:00:00"/>
    <d v="2025-10-17T00:00:00"/>
    <s v="No"/>
    <m/>
    <d v="2025-11-16T00:00:00"/>
    <x v="0"/>
    <n v="4"/>
    <n v="5"/>
    <n v="3"/>
    <x v="0"/>
  </r>
  <r>
    <s v="L1531"/>
    <x v="3"/>
    <x v="2"/>
    <x v="25"/>
    <d v="2025-10-04T00:00:00"/>
    <d v="2025-10-07T00:00:00"/>
    <d v="2025-10-11T00:00:00"/>
    <s v="No"/>
    <m/>
    <d v="2025-11-03T00:00:00"/>
    <x v="0"/>
    <n v="1"/>
    <n v="3"/>
    <n v="4"/>
    <x v="0"/>
  </r>
  <r>
    <s v="L1532"/>
    <x v="0"/>
    <x v="1"/>
    <x v="6"/>
    <m/>
    <m/>
    <m/>
    <s v="Yes"/>
    <s v="Model Unavailable"/>
    <m/>
    <x v="2"/>
    <m/>
    <n v="0"/>
    <n v="0"/>
    <x v="0"/>
  </r>
  <r>
    <s v="L1533"/>
    <x v="3"/>
    <x v="0"/>
    <x v="19"/>
    <d v="2025-10-31T00:00:00"/>
    <d v="2025-11-03T00:00:00"/>
    <d v="2025-11-05T00:00:00"/>
    <s v="No"/>
    <m/>
    <d v="2025-12-01T00:00:00"/>
    <x v="10"/>
    <n v="5"/>
    <n v="3"/>
    <n v="2"/>
    <x v="0"/>
  </r>
  <r>
    <s v="L1534"/>
    <x v="3"/>
    <x v="2"/>
    <x v="17"/>
    <d v="2025-10-12T00:00:00"/>
    <d v="2025-10-15T00:00:00"/>
    <d v="2025-10-19T00:00:00"/>
    <s v="No"/>
    <m/>
    <d v="2025-10-29T00:00:00"/>
    <x v="6"/>
    <n v="3"/>
    <n v="3"/>
    <n v="4"/>
    <x v="0"/>
  </r>
  <r>
    <s v="L1535"/>
    <x v="3"/>
    <x v="2"/>
    <x v="1"/>
    <d v="2025-10-13T00:00:00"/>
    <d v="2025-10-16T00:00:00"/>
    <d v="2025-10-18T00:00:00"/>
    <s v="Yes"/>
    <s v="Financing Issue"/>
    <m/>
    <x v="2"/>
    <n v="2"/>
    <n v="3"/>
    <n v="2"/>
    <x v="0"/>
  </r>
  <r>
    <s v="L1536"/>
    <x v="2"/>
    <x v="0"/>
    <x v="18"/>
    <d v="2025-10-25T00:00:00"/>
    <d v="2025-10-30T00:00:00"/>
    <d v="2025-11-05T00:00:00"/>
    <s v="No"/>
    <m/>
    <d v="2025-11-15T00:00:00"/>
    <x v="6"/>
    <n v="5"/>
    <n v="5"/>
    <n v="6"/>
    <x v="0"/>
  </r>
  <r>
    <s v="L1537"/>
    <x v="0"/>
    <x v="2"/>
    <x v="12"/>
    <d v="2025-10-27T00:00:00"/>
    <d v="2025-10-31T00:00:00"/>
    <d v="2025-11-03T00:00:00"/>
    <s v="No"/>
    <m/>
    <d v="2025-11-28T00:00:00"/>
    <x v="9"/>
    <n v="4"/>
    <n v="4"/>
    <n v="3"/>
    <x v="0"/>
  </r>
  <r>
    <s v="L1538"/>
    <x v="3"/>
    <x v="1"/>
    <x v="27"/>
    <m/>
    <m/>
    <m/>
    <s v="Yes"/>
    <s v="Model Unavailable"/>
    <m/>
    <x v="2"/>
    <m/>
    <n v="0"/>
    <n v="0"/>
    <x v="0"/>
  </r>
  <r>
    <s v="L1539"/>
    <x v="0"/>
    <x v="0"/>
    <x v="0"/>
    <d v="2025-10-23T00:00:00"/>
    <d v="2025-10-27T00:00:00"/>
    <d v="2025-10-30T00:00:00"/>
    <s v="Yes"/>
    <s v="Price"/>
    <m/>
    <x v="2"/>
    <n v="2"/>
    <n v="4"/>
    <n v="3"/>
    <x v="0"/>
  </r>
  <r>
    <s v="L1540"/>
    <x v="0"/>
    <x v="2"/>
    <x v="25"/>
    <d v="2025-10-04T00:00:00"/>
    <d v="2025-10-05T00:00:00"/>
    <d v="2025-10-11T00:00:00"/>
    <s v="No"/>
    <m/>
    <d v="2025-10-25T00:00:00"/>
    <x v="3"/>
    <n v="1"/>
    <n v="1"/>
    <n v="6"/>
    <x v="2"/>
  </r>
  <r>
    <s v="L1541"/>
    <x v="2"/>
    <x v="1"/>
    <x v="3"/>
    <m/>
    <m/>
    <m/>
    <s v="Yes"/>
    <s v="Price"/>
    <m/>
    <x v="2"/>
    <m/>
    <n v="0"/>
    <n v="0"/>
    <x v="0"/>
  </r>
  <r>
    <s v="L1542"/>
    <x v="3"/>
    <x v="0"/>
    <x v="1"/>
    <d v="2025-10-16T00:00:00"/>
    <d v="2025-10-20T00:00:00"/>
    <d v="2025-10-24T00:00:00"/>
    <s v="No"/>
    <m/>
    <d v="2025-11-23T00:00:00"/>
    <x v="3"/>
    <n v="5"/>
    <n v="4"/>
    <n v="4"/>
    <x v="2"/>
  </r>
  <r>
    <s v="L1543"/>
    <x v="3"/>
    <x v="0"/>
    <x v="3"/>
    <d v="2025-10-31T00:00:00"/>
    <d v="2025-11-03T00:00:00"/>
    <d v="2025-11-08T00:00:00"/>
    <s v="No"/>
    <m/>
    <d v="2025-11-23T00:00:00"/>
    <x v="8"/>
    <n v="3"/>
    <n v="3"/>
    <n v="5"/>
    <x v="0"/>
  </r>
  <r>
    <s v="L1544"/>
    <x v="0"/>
    <x v="2"/>
    <x v="26"/>
    <d v="2025-10-23T00:00:00"/>
    <d v="2025-10-25T00:00:00"/>
    <d v="2025-10-31T00:00:00"/>
    <s v="No"/>
    <m/>
    <d v="2025-11-29T00:00:00"/>
    <x v="10"/>
    <n v="1"/>
    <n v="2"/>
    <n v="6"/>
    <x v="0"/>
  </r>
  <r>
    <s v="L1545"/>
    <x v="1"/>
    <x v="2"/>
    <x v="3"/>
    <d v="2025-11-02T00:00:00"/>
    <d v="2025-11-05T00:00:00"/>
    <d v="2025-11-12T00:00:00"/>
    <s v="No"/>
    <m/>
    <d v="2025-11-22T00:00:00"/>
    <x v="5"/>
    <n v="5"/>
    <n v="3"/>
    <n v="7"/>
    <x v="0"/>
  </r>
  <r>
    <s v="L1546"/>
    <x v="2"/>
    <x v="0"/>
    <x v="21"/>
    <d v="2025-10-23T00:00:00"/>
    <d v="2025-10-26T00:00:00"/>
    <d v="2025-11-02T00:00:00"/>
    <s v="No"/>
    <m/>
    <d v="2025-11-19T00:00:00"/>
    <x v="9"/>
    <n v="5"/>
    <n v="3"/>
    <n v="7"/>
    <x v="0"/>
  </r>
  <r>
    <s v="L1547"/>
    <x v="2"/>
    <x v="0"/>
    <x v="27"/>
    <d v="2025-10-18T00:00:00"/>
    <d v="2025-10-22T00:00:00"/>
    <d v="2025-10-29T00:00:00"/>
    <s v="No"/>
    <m/>
    <d v="2025-11-16T00:00:00"/>
    <x v="8"/>
    <n v="5"/>
    <n v="4"/>
    <n v="7"/>
    <x v="0"/>
  </r>
  <r>
    <s v="L1548"/>
    <x v="2"/>
    <x v="0"/>
    <x v="8"/>
    <d v="2025-11-05T00:00:00"/>
    <d v="2025-11-06T00:00:00"/>
    <d v="2025-11-13T00:00:00"/>
    <s v="No"/>
    <m/>
    <d v="2025-12-12T00:00:00"/>
    <x v="5"/>
    <n v="5"/>
    <n v="1"/>
    <n v="7"/>
    <x v="0"/>
  </r>
  <r>
    <s v="L1549"/>
    <x v="2"/>
    <x v="0"/>
    <x v="1"/>
    <d v="2025-10-16T00:00:00"/>
    <d v="2025-10-21T00:00:00"/>
    <d v="2025-10-23T00:00:00"/>
    <s v="No"/>
    <m/>
    <d v="2025-11-11T00:00:00"/>
    <x v="7"/>
    <n v="5"/>
    <n v="5"/>
    <n v="2"/>
    <x v="0"/>
  </r>
  <r>
    <s v="L1550"/>
    <x v="3"/>
    <x v="0"/>
    <x v="0"/>
    <d v="2025-10-22T00:00:00"/>
    <d v="2025-10-24T00:00:00"/>
    <d v="2025-10-28T00:00:00"/>
    <s v="No"/>
    <m/>
    <d v="2025-11-27T00:00:00"/>
    <x v="9"/>
    <n v="1"/>
    <n v="2"/>
    <n v="4"/>
    <x v="0"/>
  </r>
  <r>
    <s v="L1551"/>
    <x v="3"/>
    <x v="2"/>
    <x v="12"/>
    <d v="2025-10-27T00:00:00"/>
    <d v="2025-10-29T00:00:00"/>
    <d v="2025-11-05T00:00:00"/>
    <s v="No"/>
    <m/>
    <d v="2025-11-23T00:00:00"/>
    <x v="9"/>
    <n v="4"/>
    <n v="2"/>
    <n v="7"/>
    <x v="0"/>
  </r>
  <r>
    <s v="L1552"/>
    <x v="1"/>
    <x v="0"/>
    <x v="10"/>
    <d v="2025-11-02T00:00:00"/>
    <d v="2025-11-03T00:00:00"/>
    <d v="2025-11-08T00:00:00"/>
    <s v="No"/>
    <m/>
    <d v="2025-12-01T00:00:00"/>
    <x v="3"/>
    <n v="4"/>
    <n v="1"/>
    <n v="5"/>
    <x v="2"/>
  </r>
  <r>
    <s v="L1553"/>
    <x v="2"/>
    <x v="1"/>
    <x v="22"/>
    <m/>
    <m/>
    <m/>
    <s v="Yes"/>
    <s v="Financing Issue"/>
    <m/>
    <x v="2"/>
    <m/>
    <n v="0"/>
    <n v="0"/>
    <x v="0"/>
  </r>
  <r>
    <s v="L1554"/>
    <x v="2"/>
    <x v="0"/>
    <x v="6"/>
    <d v="2025-10-17T00:00:00"/>
    <d v="2025-10-20T00:00:00"/>
    <d v="2025-10-27T00:00:00"/>
    <s v="No"/>
    <m/>
    <d v="2025-11-18T00:00:00"/>
    <x v="0"/>
    <n v="1"/>
    <n v="3"/>
    <n v="7"/>
    <x v="0"/>
  </r>
  <r>
    <s v="L1555"/>
    <x v="0"/>
    <x v="0"/>
    <x v="3"/>
    <d v="2025-11-01T00:00:00"/>
    <d v="2025-11-06T00:00:00"/>
    <d v="2025-11-09T00:00:00"/>
    <s v="No"/>
    <m/>
    <d v="2025-11-30T00:00:00"/>
    <x v="1"/>
    <n v="4"/>
    <n v="5"/>
    <n v="3"/>
    <x v="1"/>
  </r>
  <r>
    <s v="L1556"/>
    <x v="3"/>
    <x v="2"/>
    <x v="21"/>
    <d v="2025-10-21T00:00:00"/>
    <d v="2025-10-26T00:00:00"/>
    <d v="2025-10-28T00:00:00"/>
    <s v="No"/>
    <m/>
    <d v="2025-11-21T00:00:00"/>
    <x v="10"/>
    <n v="3"/>
    <n v="5"/>
    <n v="2"/>
    <x v="0"/>
  </r>
  <r>
    <s v="L1557"/>
    <x v="2"/>
    <x v="0"/>
    <x v="30"/>
    <d v="2025-10-05T00:00:00"/>
    <d v="2025-10-10T00:00:00"/>
    <d v="2025-10-13T00:00:00"/>
    <s v="No"/>
    <m/>
    <d v="2025-10-31T00:00:00"/>
    <x v="0"/>
    <n v="3"/>
    <n v="5"/>
    <n v="3"/>
    <x v="0"/>
  </r>
  <r>
    <s v="L1558"/>
    <x v="1"/>
    <x v="0"/>
    <x v="18"/>
    <d v="2025-10-21T00:00:00"/>
    <d v="2025-10-25T00:00:00"/>
    <d v="2025-10-27T00:00:00"/>
    <s v="No"/>
    <m/>
    <d v="2025-11-12T00:00:00"/>
    <x v="5"/>
    <n v="1"/>
    <n v="4"/>
    <n v="2"/>
    <x v="0"/>
  </r>
  <r>
    <s v="L1559"/>
    <x v="1"/>
    <x v="1"/>
    <x v="25"/>
    <m/>
    <m/>
    <m/>
    <s v="Yes"/>
    <s v="Model Unavailable"/>
    <m/>
    <x v="2"/>
    <m/>
    <n v="0"/>
    <n v="0"/>
    <x v="0"/>
  </r>
  <r>
    <s v="L1560"/>
    <x v="3"/>
    <x v="0"/>
    <x v="24"/>
    <d v="2025-10-11T00:00:00"/>
    <d v="2025-10-14T00:00:00"/>
    <d v="2025-10-19T00:00:00"/>
    <s v="No"/>
    <m/>
    <d v="2025-11-12T00:00:00"/>
    <x v="5"/>
    <n v="3"/>
    <n v="3"/>
    <n v="5"/>
    <x v="0"/>
  </r>
  <r>
    <s v="L1561"/>
    <x v="1"/>
    <x v="1"/>
    <x v="0"/>
    <m/>
    <m/>
    <m/>
    <s v="Yes"/>
    <s v="Price"/>
    <m/>
    <x v="2"/>
    <m/>
    <n v="0"/>
    <n v="0"/>
    <x v="0"/>
  </r>
  <r>
    <s v="L1562"/>
    <x v="1"/>
    <x v="0"/>
    <x v="26"/>
    <d v="2025-10-23T00:00:00"/>
    <d v="2025-10-25T00:00:00"/>
    <d v="2025-10-27T00:00:00"/>
    <s v="No"/>
    <m/>
    <d v="2025-11-15T00:00:00"/>
    <x v="10"/>
    <n v="1"/>
    <n v="2"/>
    <n v="2"/>
    <x v="0"/>
  </r>
  <r>
    <s v="L1563"/>
    <x v="3"/>
    <x v="2"/>
    <x v="20"/>
    <d v="2025-11-02T00:00:00"/>
    <d v="2025-11-04T00:00:00"/>
    <d v="2025-11-09T00:00:00"/>
    <s v="No"/>
    <m/>
    <d v="2025-12-05T00:00:00"/>
    <x v="9"/>
    <n v="3"/>
    <n v="2"/>
    <n v="5"/>
    <x v="0"/>
  </r>
  <r>
    <s v="L1564"/>
    <x v="2"/>
    <x v="0"/>
    <x v="29"/>
    <d v="2025-10-12T00:00:00"/>
    <d v="2025-10-15T00:00:00"/>
    <d v="2025-10-21T00:00:00"/>
    <s v="No"/>
    <m/>
    <d v="2025-11-19T00:00:00"/>
    <x v="8"/>
    <n v="2"/>
    <n v="3"/>
    <n v="6"/>
    <x v="0"/>
  </r>
  <r>
    <s v="L1565"/>
    <x v="2"/>
    <x v="2"/>
    <x v="24"/>
    <d v="2025-10-09T00:00:00"/>
    <d v="2025-10-11T00:00:00"/>
    <d v="2025-10-17T00:00:00"/>
    <s v="No"/>
    <m/>
    <d v="2025-11-08T00:00:00"/>
    <x v="7"/>
    <n v="1"/>
    <n v="2"/>
    <n v="6"/>
    <x v="0"/>
  </r>
  <r>
    <s v="L1566"/>
    <x v="1"/>
    <x v="2"/>
    <x v="15"/>
    <d v="2025-10-29T00:00:00"/>
    <d v="2025-11-02T00:00:00"/>
    <d v="2025-11-04T00:00:00"/>
    <s v="No"/>
    <m/>
    <d v="2025-12-02T00:00:00"/>
    <x v="9"/>
    <n v="5"/>
    <n v="4"/>
    <n v="2"/>
    <x v="0"/>
  </r>
  <r>
    <s v="L1567"/>
    <x v="1"/>
    <x v="1"/>
    <x v="25"/>
    <m/>
    <m/>
    <m/>
    <s v="Yes"/>
    <s v="Price"/>
    <m/>
    <x v="2"/>
    <m/>
    <n v="0"/>
    <n v="0"/>
    <x v="0"/>
  </r>
  <r>
    <s v="L1568"/>
    <x v="2"/>
    <x v="0"/>
    <x v="4"/>
    <d v="2025-10-17T00:00:00"/>
    <d v="2025-10-22T00:00:00"/>
    <d v="2025-10-26T00:00:00"/>
    <s v="No"/>
    <m/>
    <d v="2025-11-08T00:00:00"/>
    <x v="3"/>
    <n v="3"/>
    <n v="5"/>
    <n v="4"/>
    <x v="2"/>
  </r>
  <r>
    <s v="L1569"/>
    <x v="3"/>
    <x v="0"/>
    <x v="7"/>
    <d v="2025-10-06T00:00:00"/>
    <d v="2025-10-08T00:00:00"/>
    <d v="2025-10-15T00:00:00"/>
    <s v="No"/>
    <m/>
    <d v="2025-10-25T00:00:00"/>
    <x v="8"/>
    <n v="2"/>
    <n v="2"/>
    <n v="7"/>
    <x v="0"/>
  </r>
  <r>
    <s v="L1570"/>
    <x v="1"/>
    <x v="2"/>
    <x v="22"/>
    <d v="2025-10-26T00:00:00"/>
    <d v="2025-10-30T00:00:00"/>
    <d v="2025-11-06T00:00:00"/>
    <s v="No"/>
    <m/>
    <d v="2025-12-02T00:00:00"/>
    <x v="3"/>
    <n v="1"/>
    <n v="4"/>
    <n v="7"/>
    <x v="2"/>
  </r>
  <r>
    <s v="L1571"/>
    <x v="0"/>
    <x v="0"/>
    <x v="0"/>
    <d v="2025-10-24T00:00:00"/>
    <d v="2025-10-29T00:00:00"/>
    <d v="2025-11-05T00:00:00"/>
    <s v="No"/>
    <m/>
    <d v="2025-11-26T00:00:00"/>
    <x v="0"/>
    <n v="3"/>
    <n v="5"/>
    <n v="7"/>
    <x v="0"/>
  </r>
  <r>
    <s v="L1572"/>
    <x v="3"/>
    <x v="2"/>
    <x v="12"/>
    <d v="2025-10-28T00:00:00"/>
    <d v="2025-10-31T00:00:00"/>
    <d v="2025-11-07T00:00:00"/>
    <s v="No"/>
    <m/>
    <d v="2025-12-04T00:00:00"/>
    <x v="10"/>
    <n v="5"/>
    <n v="3"/>
    <n v="7"/>
    <x v="0"/>
  </r>
  <r>
    <s v="L1573"/>
    <x v="1"/>
    <x v="2"/>
    <x v="3"/>
    <d v="2025-10-31T00:00:00"/>
    <d v="2025-11-03T00:00:00"/>
    <d v="2025-11-06T00:00:00"/>
    <s v="No"/>
    <m/>
    <d v="2025-12-06T00:00:00"/>
    <x v="11"/>
    <n v="3"/>
    <n v="3"/>
    <n v="3"/>
    <x v="1"/>
  </r>
  <r>
    <s v="L1574"/>
    <x v="1"/>
    <x v="0"/>
    <x v="7"/>
    <d v="2025-10-06T00:00:00"/>
    <d v="2025-10-10T00:00:00"/>
    <d v="2025-10-12T00:00:00"/>
    <s v="No"/>
    <m/>
    <d v="2025-11-10T00:00:00"/>
    <x v="6"/>
    <n v="2"/>
    <n v="4"/>
    <n v="2"/>
    <x v="0"/>
  </r>
  <r>
    <s v="L1575"/>
    <x v="0"/>
    <x v="2"/>
    <x v="11"/>
    <d v="2025-10-19T00:00:00"/>
    <d v="2025-10-23T00:00:00"/>
    <d v="2025-10-25T00:00:00"/>
    <s v="No"/>
    <m/>
    <d v="2025-11-23T00:00:00"/>
    <x v="4"/>
    <n v="4"/>
    <n v="4"/>
    <n v="2"/>
    <x v="2"/>
  </r>
  <r>
    <s v="L1576"/>
    <x v="0"/>
    <x v="0"/>
    <x v="14"/>
    <d v="2025-10-10T00:00:00"/>
    <d v="2025-10-14T00:00:00"/>
    <d v="2025-10-21T00:00:00"/>
    <s v="No"/>
    <m/>
    <d v="2025-11-09T00:00:00"/>
    <x v="11"/>
    <n v="4"/>
    <n v="4"/>
    <n v="7"/>
    <x v="1"/>
  </r>
  <r>
    <s v="L1577"/>
    <x v="2"/>
    <x v="2"/>
    <x v="12"/>
    <d v="2025-10-25T00:00:00"/>
    <d v="2025-10-27T00:00:00"/>
    <d v="2025-10-30T00:00:00"/>
    <s v="No"/>
    <m/>
    <d v="2025-11-18T00:00:00"/>
    <x v="9"/>
    <n v="2"/>
    <n v="2"/>
    <n v="3"/>
    <x v="0"/>
  </r>
  <r>
    <s v="L1578"/>
    <x v="3"/>
    <x v="2"/>
    <x v="29"/>
    <d v="2025-10-12T00:00:00"/>
    <d v="2025-10-15T00:00:00"/>
    <d v="2025-10-22T00:00:00"/>
    <s v="No"/>
    <m/>
    <d v="2025-11-04T00:00:00"/>
    <x v="5"/>
    <n v="2"/>
    <n v="3"/>
    <n v="7"/>
    <x v="0"/>
  </r>
  <r>
    <s v="L1579"/>
    <x v="3"/>
    <x v="2"/>
    <x v="10"/>
    <d v="2025-10-30T00:00:00"/>
    <d v="2025-11-01T00:00:00"/>
    <d v="2025-11-03T00:00:00"/>
    <s v="No"/>
    <m/>
    <d v="2025-11-28T00:00:00"/>
    <x v="3"/>
    <n v="1"/>
    <n v="2"/>
    <n v="2"/>
    <x v="2"/>
  </r>
  <r>
    <s v="L1580"/>
    <x v="2"/>
    <x v="0"/>
    <x v="2"/>
    <d v="2025-10-05T00:00:00"/>
    <d v="2025-10-07T00:00:00"/>
    <d v="2025-10-10T00:00:00"/>
    <s v="No"/>
    <m/>
    <d v="2025-10-22T00:00:00"/>
    <x v="5"/>
    <n v="4"/>
    <n v="2"/>
    <n v="3"/>
    <x v="0"/>
  </r>
  <r>
    <s v="L1581"/>
    <x v="3"/>
    <x v="0"/>
    <x v="30"/>
    <d v="2025-10-03T00:00:00"/>
    <d v="2025-10-08T00:00:00"/>
    <d v="2025-10-13T00:00:00"/>
    <s v="No"/>
    <m/>
    <d v="2025-11-02T00:00:00"/>
    <x v="9"/>
    <n v="1"/>
    <n v="5"/>
    <n v="5"/>
    <x v="0"/>
  </r>
  <r>
    <s v="L1582"/>
    <x v="3"/>
    <x v="0"/>
    <x v="1"/>
    <d v="2025-10-14T00:00:00"/>
    <d v="2025-10-18T00:00:00"/>
    <d v="2025-10-22T00:00:00"/>
    <s v="No"/>
    <m/>
    <d v="2025-11-09T00:00:00"/>
    <x v="10"/>
    <n v="3"/>
    <n v="4"/>
    <n v="4"/>
    <x v="0"/>
  </r>
  <r>
    <s v="L1583"/>
    <x v="3"/>
    <x v="0"/>
    <x v="19"/>
    <d v="2025-10-28T00:00:00"/>
    <d v="2025-10-30T00:00:00"/>
    <d v="2025-11-05T00:00:00"/>
    <s v="No"/>
    <m/>
    <d v="2025-12-05T00:00:00"/>
    <x v="7"/>
    <n v="2"/>
    <n v="2"/>
    <n v="6"/>
    <x v="0"/>
  </r>
  <r>
    <s v="L1584"/>
    <x v="3"/>
    <x v="0"/>
    <x v="30"/>
    <d v="2025-10-03T00:00:00"/>
    <d v="2025-10-08T00:00:00"/>
    <d v="2025-10-14T00:00:00"/>
    <s v="Yes"/>
    <s v="Changed Mind"/>
    <m/>
    <x v="2"/>
    <n v="1"/>
    <n v="5"/>
    <n v="6"/>
    <x v="0"/>
  </r>
  <r>
    <s v="L1585"/>
    <x v="3"/>
    <x v="2"/>
    <x v="29"/>
    <d v="2025-10-12T00:00:00"/>
    <d v="2025-10-13T00:00:00"/>
    <d v="2025-10-20T00:00:00"/>
    <s v="No"/>
    <m/>
    <d v="2025-11-09T00:00:00"/>
    <x v="7"/>
    <n v="2"/>
    <n v="1"/>
    <n v="7"/>
    <x v="0"/>
  </r>
  <r>
    <s v="L1586"/>
    <x v="0"/>
    <x v="0"/>
    <x v="9"/>
    <d v="2025-10-13T00:00:00"/>
    <d v="2025-10-18T00:00:00"/>
    <d v="2025-10-22T00:00:00"/>
    <s v="No"/>
    <m/>
    <d v="2025-11-09T00:00:00"/>
    <x v="1"/>
    <n v="1"/>
    <n v="5"/>
    <n v="4"/>
    <x v="1"/>
  </r>
  <r>
    <s v="L1587"/>
    <x v="3"/>
    <x v="1"/>
    <x v="9"/>
    <m/>
    <m/>
    <m/>
    <s v="Yes"/>
    <s v="Changed Mind"/>
    <m/>
    <x v="2"/>
    <m/>
    <n v="0"/>
    <n v="0"/>
    <x v="0"/>
  </r>
  <r>
    <s v="L1588"/>
    <x v="0"/>
    <x v="0"/>
    <x v="4"/>
    <d v="2025-10-17T00:00:00"/>
    <d v="2025-10-18T00:00:00"/>
    <d v="2025-10-21T00:00:00"/>
    <s v="Yes"/>
    <s v="Price"/>
    <m/>
    <x v="2"/>
    <n v="3"/>
    <n v="1"/>
    <n v="3"/>
    <x v="0"/>
  </r>
  <r>
    <s v="L1589"/>
    <x v="3"/>
    <x v="0"/>
    <x v="13"/>
    <d v="2025-10-08T00:00:00"/>
    <d v="2025-10-09T00:00:00"/>
    <d v="2025-10-13T00:00:00"/>
    <s v="No"/>
    <m/>
    <d v="2025-10-31T00:00:00"/>
    <x v="3"/>
    <n v="3"/>
    <n v="1"/>
    <n v="4"/>
    <x v="2"/>
  </r>
  <r>
    <s v="L1590"/>
    <x v="2"/>
    <x v="1"/>
    <x v="24"/>
    <m/>
    <m/>
    <m/>
    <s v="Yes"/>
    <s v="Financing Issue"/>
    <m/>
    <x v="2"/>
    <m/>
    <n v="0"/>
    <n v="0"/>
    <x v="0"/>
  </r>
  <r>
    <s v="L1591"/>
    <x v="1"/>
    <x v="0"/>
    <x v="16"/>
    <d v="2025-10-22T00:00:00"/>
    <d v="2025-10-23T00:00:00"/>
    <d v="2025-10-26T00:00:00"/>
    <s v="No"/>
    <m/>
    <d v="2025-11-25T00:00:00"/>
    <x v="6"/>
    <n v="5"/>
    <n v="1"/>
    <n v="3"/>
    <x v="0"/>
  </r>
  <r>
    <s v="L1592"/>
    <x v="0"/>
    <x v="2"/>
    <x v="4"/>
    <d v="2025-10-18T00:00:00"/>
    <d v="2025-10-19T00:00:00"/>
    <d v="2025-10-26T00:00:00"/>
    <s v="Yes"/>
    <s v="Other"/>
    <m/>
    <x v="2"/>
    <n v="4"/>
    <n v="1"/>
    <n v="7"/>
    <x v="0"/>
  </r>
  <r>
    <s v="L1593"/>
    <x v="3"/>
    <x v="0"/>
    <x v="23"/>
    <d v="2025-10-24T00:00:00"/>
    <d v="2025-10-28T00:00:00"/>
    <d v="2025-11-01T00:00:00"/>
    <s v="No"/>
    <m/>
    <d v="2025-12-01T00:00:00"/>
    <x v="11"/>
    <n v="5"/>
    <n v="4"/>
    <n v="4"/>
    <x v="1"/>
  </r>
  <r>
    <s v="L1594"/>
    <x v="2"/>
    <x v="0"/>
    <x v="26"/>
    <d v="2025-10-26T00:00:00"/>
    <d v="2025-10-28T00:00:00"/>
    <d v="2025-11-04T00:00:00"/>
    <s v="No"/>
    <m/>
    <d v="2025-11-23T00:00:00"/>
    <x v="0"/>
    <n v="4"/>
    <n v="2"/>
    <n v="7"/>
    <x v="0"/>
  </r>
  <r>
    <s v="L1595"/>
    <x v="1"/>
    <x v="0"/>
    <x v="19"/>
    <d v="2025-10-29T00:00:00"/>
    <d v="2025-10-31T00:00:00"/>
    <d v="2025-11-02T00:00:00"/>
    <s v="No"/>
    <m/>
    <d v="2025-11-18T00:00:00"/>
    <x v="1"/>
    <n v="3"/>
    <n v="2"/>
    <n v="2"/>
    <x v="1"/>
  </r>
  <r>
    <s v="L1596"/>
    <x v="0"/>
    <x v="0"/>
    <x v="14"/>
    <d v="2025-10-07T00:00:00"/>
    <d v="2025-10-08T00:00:00"/>
    <d v="2025-10-10T00:00:00"/>
    <s v="Yes"/>
    <s v="Other"/>
    <m/>
    <x v="2"/>
    <n v="1"/>
    <n v="1"/>
    <n v="2"/>
    <x v="0"/>
  </r>
  <r>
    <s v="L1597"/>
    <x v="1"/>
    <x v="0"/>
    <x v="14"/>
    <d v="2025-10-08T00:00:00"/>
    <d v="2025-10-10T00:00:00"/>
    <d v="2025-10-14T00:00:00"/>
    <s v="No"/>
    <m/>
    <d v="2025-10-28T00:00:00"/>
    <x v="9"/>
    <n v="2"/>
    <n v="2"/>
    <n v="4"/>
    <x v="0"/>
  </r>
  <r>
    <s v="L1598"/>
    <x v="2"/>
    <x v="0"/>
    <x v="14"/>
    <d v="2025-10-09T00:00:00"/>
    <d v="2025-10-10T00:00:00"/>
    <d v="2025-10-15T00:00:00"/>
    <s v="No"/>
    <m/>
    <d v="2025-11-10T00:00:00"/>
    <x v="10"/>
    <n v="3"/>
    <n v="1"/>
    <n v="5"/>
    <x v="0"/>
  </r>
  <r>
    <s v="L1599"/>
    <x v="0"/>
    <x v="0"/>
    <x v="25"/>
    <d v="2025-10-06T00:00:00"/>
    <d v="2025-10-08T00:00:00"/>
    <d v="2025-10-12T00:00:00"/>
    <s v="No"/>
    <m/>
    <d v="2025-10-29T00:00:00"/>
    <x v="8"/>
    <n v="3"/>
    <n v="2"/>
    <n v="4"/>
    <x v="0"/>
  </r>
  <r>
    <s v="L1600"/>
    <x v="1"/>
    <x v="1"/>
    <x v="18"/>
    <m/>
    <m/>
    <m/>
    <s v="Yes"/>
    <s v="Price"/>
    <m/>
    <x v="2"/>
    <m/>
    <n v="0"/>
    <n v="0"/>
    <x v="0"/>
  </r>
  <r>
    <s v="L1601"/>
    <x v="3"/>
    <x v="0"/>
    <x v="3"/>
    <d v="2025-10-29T00:00:00"/>
    <d v="2025-11-03T00:00:00"/>
    <d v="2025-11-09T00:00:00"/>
    <s v="No"/>
    <m/>
    <d v="2025-11-20T00:00:00"/>
    <x v="9"/>
    <n v="1"/>
    <n v="5"/>
    <n v="6"/>
    <x v="0"/>
  </r>
  <r>
    <s v="L1602"/>
    <x v="0"/>
    <x v="2"/>
    <x v="27"/>
    <d v="2025-10-16T00:00:00"/>
    <d v="2025-10-20T00:00:00"/>
    <d v="2025-10-22T00:00:00"/>
    <s v="No"/>
    <m/>
    <d v="2025-11-20T00:00:00"/>
    <x v="1"/>
    <n v="3"/>
    <n v="4"/>
    <n v="2"/>
    <x v="1"/>
  </r>
  <r>
    <s v="L1603"/>
    <x v="1"/>
    <x v="0"/>
    <x v="18"/>
    <d v="2025-10-23T00:00:00"/>
    <d v="2025-10-26T00:00:00"/>
    <d v="2025-10-30T00:00:00"/>
    <s v="No"/>
    <m/>
    <d v="2025-11-21T00:00:00"/>
    <x v="5"/>
    <n v="3"/>
    <n v="3"/>
    <n v="4"/>
    <x v="0"/>
  </r>
  <r>
    <s v="L1604"/>
    <x v="2"/>
    <x v="2"/>
    <x v="26"/>
    <d v="2025-10-23T00:00:00"/>
    <d v="2025-10-24T00:00:00"/>
    <d v="2025-10-31T00:00:00"/>
    <s v="No"/>
    <m/>
    <d v="2025-11-20T00:00:00"/>
    <x v="3"/>
    <n v="1"/>
    <n v="1"/>
    <n v="7"/>
    <x v="2"/>
  </r>
  <r>
    <s v="L1605"/>
    <x v="2"/>
    <x v="0"/>
    <x v="24"/>
    <d v="2025-10-11T00:00:00"/>
    <d v="2025-10-16T00:00:00"/>
    <d v="2025-10-22T00:00:00"/>
    <s v="No"/>
    <m/>
    <d v="2025-11-05T00:00:00"/>
    <x v="9"/>
    <n v="3"/>
    <n v="5"/>
    <n v="6"/>
    <x v="0"/>
  </r>
  <r>
    <s v="L1606"/>
    <x v="0"/>
    <x v="0"/>
    <x v="6"/>
    <d v="2025-10-20T00:00:00"/>
    <d v="2025-10-25T00:00:00"/>
    <d v="2025-11-01T00:00:00"/>
    <s v="No"/>
    <m/>
    <d v="2025-11-11T00:00:00"/>
    <x v="0"/>
    <n v="4"/>
    <n v="5"/>
    <n v="7"/>
    <x v="0"/>
  </r>
  <r>
    <s v="L1607"/>
    <x v="1"/>
    <x v="2"/>
    <x v="20"/>
    <d v="2025-11-03T00:00:00"/>
    <d v="2025-11-07T00:00:00"/>
    <d v="2025-11-09T00:00:00"/>
    <s v="No"/>
    <m/>
    <d v="2025-12-09T00:00:00"/>
    <x v="8"/>
    <n v="4"/>
    <n v="4"/>
    <n v="2"/>
    <x v="0"/>
  </r>
  <r>
    <s v="L1608"/>
    <x v="0"/>
    <x v="0"/>
    <x v="23"/>
    <d v="2025-10-23T00:00:00"/>
    <d v="2025-10-27T00:00:00"/>
    <d v="2025-11-01T00:00:00"/>
    <s v="No"/>
    <m/>
    <d v="2025-11-26T00:00:00"/>
    <x v="6"/>
    <n v="4"/>
    <n v="4"/>
    <n v="5"/>
    <x v="0"/>
  </r>
  <r>
    <s v="L1609"/>
    <x v="0"/>
    <x v="2"/>
    <x v="13"/>
    <d v="2025-10-09T00:00:00"/>
    <d v="2025-10-10T00:00:00"/>
    <d v="2025-10-15T00:00:00"/>
    <s v="No"/>
    <m/>
    <d v="2025-11-03T00:00:00"/>
    <x v="10"/>
    <n v="4"/>
    <n v="1"/>
    <n v="5"/>
    <x v="0"/>
  </r>
  <r>
    <s v="L1610"/>
    <x v="1"/>
    <x v="2"/>
    <x v="24"/>
    <d v="2025-10-11T00:00:00"/>
    <d v="2025-10-12T00:00:00"/>
    <d v="2025-10-18T00:00:00"/>
    <s v="No"/>
    <m/>
    <d v="2025-11-05T00:00:00"/>
    <x v="10"/>
    <n v="3"/>
    <n v="1"/>
    <n v="6"/>
    <x v="0"/>
  </r>
  <r>
    <s v="L1611"/>
    <x v="1"/>
    <x v="0"/>
    <x v="11"/>
    <d v="2025-10-17T00:00:00"/>
    <d v="2025-10-22T00:00:00"/>
    <d v="2025-10-26T00:00:00"/>
    <s v="No"/>
    <m/>
    <d v="2025-11-18T00:00:00"/>
    <x v="0"/>
    <n v="2"/>
    <n v="5"/>
    <n v="4"/>
    <x v="0"/>
  </r>
  <r>
    <s v="L1612"/>
    <x v="3"/>
    <x v="0"/>
    <x v="0"/>
    <d v="2025-10-25T00:00:00"/>
    <d v="2025-10-30T00:00:00"/>
    <d v="2025-11-01T00:00:00"/>
    <s v="No"/>
    <m/>
    <d v="2025-11-23T00:00:00"/>
    <x v="1"/>
    <n v="4"/>
    <n v="5"/>
    <n v="2"/>
    <x v="1"/>
  </r>
  <r>
    <s v="L1613"/>
    <x v="1"/>
    <x v="1"/>
    <x v="17"/>
    <m/>
    <m/>
    <m/>
    <s v="Yes"/>
    <s v="Price"/>
    <m/>
    <x v="2"/>
    <m/>
    <n v="0"/>
    <n v="0"/>
    <x v="0"/>
  </r>
  <r>
    <s v="L1614"/>
    <x v="2"/>
    <x v="0"/>
    <x v="11"/>
    <d v="2025-10-19T00:00:00"/>
    <d v="2025-10-23T00:00:00"/>
    <d v="2025-10-28T00:00:00"/>
    <s v="No"/>
    <m/>
    <d v="2025-11-19T00:00:00"/>
    <x v="5"/>
    <n v="4"/>
    <n v="4"/>
    <n v="5"/>
    <x v="0"/>
  </r>
  <r>
    <s v="L1615"/>
    <x v="0"/>
    <x v="0"/>
    <x v="17"/>
    <d v="2025-10-12T00:00:00"/>
    <d v="2025-10-13T00:00:00"/>
    <d v="2025-10-19T00:00:00"/>
    <s v="No"/>
    <m/>
    <d v="2025-10-30T00:00:00"/>
    <x v="5"/>
    <n v="3"/>
    <n v="1"/>
    <n v="6"/>
    <x v="0"/>
  </r>
  <r>
    <s v="L1616"/>
    <x v="0"/>
    <x v="0"/>
    <x v="26"/>
    <d v="2025-10-27T00:00:00"/>
    <d v="2025-10-28T00:00:00"/>
    <d v="2025-10-31T00:00:00"/>
    <s v="No"/>
    <m/>
    <d v="2025-11-28T00:00:00"/>
    <x v="9"/>
    <n v="5"/>
    <n v="1"/>
    <n v="3"/>
    <x v="0"/>
  </r>
  <r>
    <s v="L1617"/>
    <x v="2"/>
    <x v="2"/>
    <x v="2"/>
    <d v="2025-10-04T00:00:00"/>
    <d v="2025-10-09T00:00:00"/>
    <d v="2025-10-13T00:00:00"/>
    <s v="No"/>
    <m/>
    <d v="2025-11-10T00:00:00"/>
    <x v="8"/>
    <n v="3"/>
    <n v="5"/>
    <n v="4"/>
    <x v="0"/>
  </r>
  <r>
    <s v="L1618"/>
    <x v="1"/>
    <x v="1"/>
    <x v="10"/>
    <m/>
    <m/>
    <m/>
    <s v="Yes"/>
    <s v="Price"/>
    <m/>
    <x v="2"/>
    <m/>
    <n v="0"/>
    <n v="0"/>
    <x v="0"/>
  </r>
  <r>
    <s v="L1619"/>
    <x v="2"/>
    <x v="0"/>
    <x v="19"/>
    <d v="2025-10-27T00:00:00"/>
    <d v="2025-10-30T00:00:00"/>
    <d v="2025-11-02T00:00:00"/>
    <s v="Yes"/>
    <s v="Financing Issue"/>
    <m/>
    <x v="2"/>
    <n v="1"/>
    <n v="3"/>
    <n v="3"/>
    <x v="0"/>
  </r>
  <r>
    <s v="L1620"/>
    <x v="2"/>
    <x v="0"/>
    <x v="11"/>
    <d v="2025-10-19T00:00:00"/>
    <d v="2025-10-24T00:00:00"/>
    <d v="2025-10-28T00:00:00"/>
    <s v="Yes"/>
    <s v="Changed Mind"/>
    <m/>
    <x v="2"/>
    <n v="4"/>
    <n v="5"/>
    <n v="4"/>
    <x v="0"/>
  </r>
  <r>
    <s v="L1621"/>
    <x v="3"/>
    <x v="2"/>
    <x v="10"/>
    <d v="2025-10-30T00:00:00"/>
    <d v="2025-11-02T00:00:00"/>
    <d v="2025-11-04T00:00:00"/>
    <s v="No"/>
    <m/>
    <d v="2025-11-20T00:00:00"/>
    <x v="5"/>
    <n v="1"/>
    <n v="3"/>
    <n v="2"/>
    <x v="0"/>
  </r>
  <r>
    <s v="L1622"/>
    <x v="2"/>
    <x v="0"/>
    <x v="29"/>
    <d v="2025-10-14T00:00:00"/>
    <d v="2025-10-15T00:00:00"/>
    <d v="2025-10-21T00:00:00"/>
    <s v="No"/>
    <m/>
    <d v="2025-11-10T00:00:00"/>
    <x v="3"/>
    <n v="4"/>
    <n v="1"/>
    <n v="6"/>
    <x v="2"/>
  </r>
  <r>
    <s v="L1623"/>
    <x v="0"/>
    <x v="0"/>
    <x v="26"/>
    <d v="2025-10-27T00:00:00"/>
    <d v="2025-11-01T00:00:00"/>
    <d v="2025-11-08T00:00:00"/>
    <s v="No"/>
    <m/>
    <d v="2025-11-25T00:00:00"/>
    <x v="1"/>
    <n v="5"/>
    <n v="5"/>
    <n v="7"/>
    <x v="1"/>
  </r>
  <r>
    <s v="L1624"/>
    <x v="2"/>
    <x v="1"/>
    <x v="21"/>
    <m/>
    <m/>
    <m/>
    <s v="Yes"/>
    <s v="Price"/>
    <m/>
    <x v="2"/>
    <m/>
    <n v="0"/>
    <n v="0"/>
    <x v="0"/>
  </r>
  <r>
    <s v="L1625"/>
    <x v="0"/>
    <x v="2"/>
    <x v="14"/>
    <d v="2025-10-08T00:00:00"/>
    <d v="2025-10-12T00:00:00"/>
    <d v="2025-10-19T00:00:00"/>
    <s v="No"/>
    <m/>
    <d v="2025-11-15T00:00:00"/>
    <x v="6"/>
    <n v="2"/>
    <n v="4"/>
    <n v="7"/>
    <x v="0"/>
  </r>
  <r>
    <s v="L1626"/>
    <x v="0"/>
    <x v="0"/>
    <x v="25"/>
    <d v="2025-10-08T00:00:00"/>
    <d v="2025-10-10T00:00:00"/>
    <d v="2025-10-12T00:00:00"/>
    <s v="No"/>
    <m/>
    <d v="2025-11-11T00:00:00"/>
    <x v="10"/>
    <n v="5"/>
    <n v="2"/>
    <n v="2"/>
    <x v="0"/>
  </r>
  <r>
    <s v="L1627"/>
    <x v="0"/>
    <x v="1"/>
    <x v="11"/>
    <m/>
    <m/>
    <m/>
    <s v="Yes"/>
    <s v="Price"/>
    <m/>
    <x v="2"/>
    <m/>
    <n v="0"/>
    <n v="0"/>
    <x v="0"/>
  </r>
  <r>
    <s v="L1628"/>
    <x v="1"/>
    <x v="0"/>
    <x v="8"/>
    <d v="2025-11-03T00:00:00"/>
    <d v="2025-11-04T00:00:00"/>
    <d v="2025-11-07T00:00:00"/>
    <s v="Yes"/>
    <s v="Model Unavailable"/>
    <m/>
    <x v="2"/>
    <n v="3"/>
    <n v="1"/>
    <n v="3"/>
    <x v="0"/>
  </r>
  <r>
    <s v="L1629"/>
    <x v="3"/>
    <x v="0"/>
    <x v="9"/>
    <d v="2025-10-15T00:00:00"/>
    <d v="2025-10-16T00:00:00"/>
    <d v="2025-10-23T00:00:00"/>
    <s v="No"/>
    <m/>
    <d v="2025-11-17T00:00:00"/>
    <x v="9"/>
    <n v="3"/>
    <n v="1"/>
    <n v="7"/>
    <x v="0"/>
  </r>
  <r>
    <s v="L1630"/>
    <x v="0"/>
    <x v="2"/>
    <x v="23"/>
    <d v="2025-10-20T00:00:00"/>
    <d v="2025-10-25T00:00:00"/>
    <d v="2025-10-31T00:00:00"/>
    <s v="No"/>
    <m/>
    <d v="2025-11-21T00:00:00"/>
    <x v="10"/>
    <n v="1"/>
    <n v="5"/>
    <n v="6"/>
    <x v="0"/>
  </r>
  <r>
    <s v="L1631"/>
    <x v="0"/>
    <x v="1"/>
    <x v="29"/>
    <m/>
    <m/>
    <m/>
    <s v="Yes"/>
    <s v="Financing Issue"/>
    <m/>
    <x v="2"/>
    <m/>
    <n v="0"/>
    <n v="0"/>
    <x v="0"/>
  </r>
  <r>
    <s v="L1632"/>
    <x v="1"/>
    <x v="2"/>
    <x v="0"/>
    <d v="2025-10-22T00:00:00"/>
    <d v="2025-10-24T00:00:00"/>
    <d v="2025-10-26T00:00:00"/>
    <s v="No"/>
    <m/>
    <d v="2025-11-21T00:00:00"/>
    <x v="3"/>
    <n v="1"/>
    <n v="2"/>
    <n v="2"/>
    <x v="2"/>
  </r>
  <r>
    <s v="L1633"/>
    <x v="0"/>
    <x v="0"/>
    <x v="8"/>
    <d v="2025-11-03T00:00:00"/>
    <d v="2025-11-05T00:00:00"/>
    <d v="2025-11-07T00:00:00"/>
    <s v="No"/>
    <m/>
    <d v="2025-11-26T00:00:00"/>
    <x v="9"/>
    <n v="3"/>
    <n v="2"/>
    <n v="2"/>
    <x v="0"/>
  </r>
  <r>
    <s v="L1634"/>
    <x v="2"/>
    <x v="0"/>
    <x v="4"/>
    <d v="2025-10-17T00:00:00"/>
    <d v="2025-10-19T00:00:00"/>
    <d v="2025-10-21T00:00:00"/>
    <s v="No"/>
    <m/>
    <d v="2025-11-05T00:00:00"/>
    <x v="7"/>
    <n v="3"/>
    <n v="2"/>
    <n v="2"/>
    <x v="0"/>
  </r>
  <r>
    <s v="L1635"/>
    <x v="2"/>
    <x v="2"/>
    <x v="12"/>
    <d v="2025-10-26T00:00:00"/>
    <d v="2025-10-31T00:00:00"/>
    <d v="2025-11-03T00:00:00"/>
    <s v="Yes"/>
    <s v="Price"/>
    <m/>
    <x v="2"/>
    <n v="3"/>
    <n v="5"/>
    <n v="3"/>
    <x v="0"/>
  </r>
  <r>
    <s v="L1636"/>
    <x v="3"/>
    <x v="0"/>
    <x v="17"/>
    <d v="2025-10-13T00:00:00"/>
    <d v="2025-10-18T00:00:00"/>
    <d v="2025-10-20T00:00:00"/>
    <s v="No"/>
    <m/>
    <d v="2025-11-16T00:00:00"/>
    <x v="9"/>
    <n v="4"/>
    <n v="5"/>
    <n v="2"/>
    <x v="0"/>
  </r>
  <r>
    <s v="L1637"/>
    <x v="0"/>
    <x v="2"/>
    <x v="11"/>
    <d v="2025-10-20T00:00:00"/>
    <d v="2025-10-23T00:00:00"/>
    <d v="2025-10-28T00:00:00"/>
    <s v="No"/>
    <m/>
    <d v="2025-11-12T00:00:00"/>
    <x v="0"/>
    <n v="5"/>
    <n v="3"/>
    <n v="5"/>
    <x v="0"/>
  </r>
  <r>
    <s v="L1638"/>
    <x v="1"/>
    <x v="2"/>
    <x v="3"/>
    <d v="2025-11-01T00:00:00"/>
    <d v="2025-11-04T00:00:00"/>
    <d v="2025-11-08T00:00:00"/>
    <s v="No"/>
    <m/>
    <d v="2025-11-27T00:00:00"/>
    <x v="10"/>
    <n v="4"/>
    <n v="3"/>
    <n v="4"/>
    <x v="0"/>
  </r>
  <r>
    <s v="L1639"/>
    <x v="2"/>
    <x v="0"/>
    <x v="29"/>
    <d v="2025-10-12T00:00:00"/>
    <d v="2025-10-15T00:00:00"/>
    <d v="2025-10-20T00:00:00"/>
    <s v="No"/>
    <m/>
    <d v="2025-11-02T00:00:00"/>
    <x v="1"/>
    <n v="2"/>
    <n v="3"/>
    <n v="5"/>
    <x v="1"/>
  </r>
  <r>
    <s v="L1640"/>
    <x v="1"/>
    <x v="1"/>
    <x v="28"/>
    <m/>
    <m/>
    <m/>
    <s v="Yes"/>
    <s v="Model Unavailable"/>
    <m/>
    <x v="2"/>
    <m/>
    <n v="0"/>
    <n v="0"/>
    <x v="0"/>
  </r>
  <r>
    <s v="L1641"/>
    <x v="1"/>
    <x v="0"/>
    <x v="27"/>
    <d v="2025-10-17T00:00:00"/>
    <d v="2025-10-21T00:00:00"/>
    <d v="2025-10-24T00:00:00"/>
    <s v="No"/>
    <m/>
    <d v="2025-11-18T00:00:00"/>
    <x v="3"/>
    <n v="4"/>
    <n v="4"/>
    <n v="3"/>
    <x v="2"/>
  </r>
  <r>
    <s v="L1642"/>
    <x v="2"/>
    <x v="0"/>
    <x v="3"/>
    <d v="2025-10-31T00:00:00"/>
    <d v="2025-11-01T00:00:00"/>
    <d v="2025-11-04T00:00:00"/>
    <s v="No"/>
    <m/>
    <d v="2025-11-18T00:00:00"/>
    <x v="8"/>
    <n v="3"/>
    <n v="1"/>
    <n v="3"/>
    <x v="0"/>
  </r>
  <r>
    <s v="L1643"/>
    <x v="1"/>
    <x v="2"/>
    <x v="6"/>
    <d v="2025-10-20T00:00:00"/>
    <d v="2025-10-23T00:00:00"/>
    <d v="2025-10-25T00:00:00"/>
    <s v="No"/>
    <m/>
    <d v="2025-11-12T00:00:00"/>
    <x v="8"/>
    <n v="4"/>
    <n v="3"/>
    <n v="2"/>
    <x v="0"/>
  </r>
  <r>
    <s v="L1644"/>
    <x v="2"/>
    <x v="2"/>
    <x v="7"/>
    <d v="2025-10-05T00:00:00"/>
    <d v="2025-10-09T00:00:00"/>
    <d v="2025-10-15T00:00:00"/>
    <s v="No"/>
    <m/>
    <d v="2025-11-11T00:00:00"/>
    <x v="10"/>
    <n v="1"/>
    <n v="4"/>
    <n v="6"/>
    <x v="0"/>
  </r>
  <r>
    <s v="L1645"/>
    <x v="1"/>
    <x v="2"/>
    <x v="24"/>
    <d v="2025-10-11T00:00:00"/>
    <d v="2025-10-15T00:00:00"/>
    <d v="2025-10-22T00:00:00"/>
    <s v="No"/>
    <m/>
    <d v="2025-11-06T00:00:00"/>
    <x v="6"/>
    <n v="3"/>
    <n v="4"/>
    <n v="7"/>
    <x v="0"/>
  </r>
  <r>
    <s v="L1646"/>
    <x v="2"/>
    <x v="2"/>
    <x v="27"/>
    <d v="2025-10-18T00:00:00"/>
    <d v="2025-10-23T00:00:00"/>
    <d v="2025-10-30T00:00:00"/>
    <s v="No"/>
    <m/>
    <d v="2025-11-19T00:00:00"/>
    <x v="5"/>
    <n v="5"/>
    <n v="5"/>
    <n v="7"/>
    <x v="0"/>
  </r>
  <r>
    <s v="L1647"/>
    <x v="0"/>
    <x v="0"/>
    <x v="23"/>
    <d v="2025-10-23T00:00:00"/>
    <d v="2025-10-25T00:00:00"/>
    <d v="2025-11-01T00:00:00"/>
    <s v="No"/>
    <m/>
    <d v="2025-12-01T00:00:00"/>
    <x v="7"/>
    <n v="4"/>
    <n v="2"/>
    <n v="7"/>
    <x v="0"/>
  </r>
  <r>
    <s v="L1648"/>
    <x v="3"/>
    <x v="0"/>
    <x v="9"/>
    <d v="2025-10-15T00:00:00"/>
    <d v="2025-10-17T00:00:00"/>
    <d v="2025-10-22T00:00:00"/>
    <s v="No"/>
    <m/>
    <d v="2025-11-03T00:00:00"/>
    <x v="6"/>
    <n v="3"/>
    <n v="2"/>
    <n v="5"/>
    <x v="0"/>
  </r>
  <r>
    <s v="L1649"/>
    <x v="2"/>
    <x v="0"/>
    <x v="23"/>
    <d v="2025-10-20T00:00:00"/>
    <d v="2025-10-23T00:00:00"/>
    <d v="2025-10-26T00:00:00"/>
    <s v="Yes"/>
    <s v="Other"/>
    <m/>
    <x v="2"/>
    <n v="1"/>
    <n v="3"/>
    <n v="3"/>
    <x v="0"/>
  </r>
  <r>
    <s v="L1650"/>
    <x v="2"/>
    <x v="2"/>
    <x v="29"/>
    <d v="2025-10-11T00:00:00"/>
    <d v="2025-10-12T00:00:00"/>
    <d v="2025-10-16T00:00:00"/>
    <s v="Yes"/>
    <s v="Price"/>
    <m/>
    <x v="2"/>
    <n v="1"/>
    <n v="1"/>
    <n v="4"/>
    <x v="0"/>
  </r>
  <r>
    <s v="L1651"/>
    <x v="3"/>
    <x v="0"/>
    <x v="12"/>
    <d v="2025-10-27T00:00:00"/>
    <d v="2025-10-28T00:00:00"/>
    <d v="2025-10-31T00:00:00"/>
    <s v="Yes"/>
    <s v="Price"/>
    <m/>
    <x v="2"/>
    <n v="4"/>
    <n v="1"/>
    <n v="3"/>
    <x v="0"/>
  </r>
  <r>
    <s v="L1652"/>
    <x v="2"/>
    <x v="1"/>
    <x v="29"/>
    <m/>
    <m/>
    <m/>
    <s v="Yes"/>
    <s v="Model Unavailable"/>
    <m/>
    <x v="2"/>
    <m/>
    <n v="0"/>
    <n v="0"/>
    <x v="0"/>
  </r>
  <r>
    <s v="L1653"/>
    <x v="2"/>
    <x v="2"/>
    <x v="2"/>
    <d v="2025-10-04T00:00:00"/>
    <d v="2025-10-05T00:00:00"/>
    <d v="2025-10-10T00:00:00"/>
    <s v="No"/>
    <m/>
    <d v="2025-10-27T00:00:00"/>
    <x v="9"/>
    <n v="3"/>
    <n v="1"/>
    <n v="5"/>
    <x v="0"/>
  </r>
  <r>
    <s v="L1654"/>
    <x v="1"/>
    <x v="1"/>
    <x v="5"/>
    <m/>
    <m/>
    <m/>
    <s v="Yes"/>
    <s v="Financing Issue"/>
    <m/>
    <x v="2"/>
    <m/>
    <n v="0"/>
    <n v="0"/>
    <x v="0"/>
  </r>
  <r>
    <s v="L1655"/>
    <x v="3"/>
    <x v="1"/>
    <x v="26"/>
    <m/>
    <m/>
    <m/>
    <s v="Yes"/>
    <s v="Price"/>
    <m/>
    <x v="2"/>
    <m/>
    <n v="0"/>
    <n v="0"/>
    <x v="0"/>
  </r>
  <r>
    <s v="L1656"/>
    <x v="0"/>
    <x v="2"/>
    <x v="27"/>
    <d v="2025-10-18T00:00:00"/>
    <d v="2025-10-22T00:00:00"/>
    <d v="2025-10-29T00:00:00"/>
    <s v="No"/>
    <m/>
    <d v="2025-11-19T00:00:00"/>
    <x v="0"/>
    <n v="5"/>
    <n v="4"/>
    <n v="7"/>
    <x v="0"/>
  </r>
  <r>
    <s v="L1657"/>
    <x v="2"/>
    <x v="0"/>
    <x v="17"/>
    <d v="2025-10-11T00:00:00"/>
    <d v="2025-10-15T00:00:00"/>
    <d v="2025-10-19T00:00:00"/>
    <s v="Yes"/>
    <s v="Other"/>
    <m/>
    <x v="2"/>
    <n v="2"/>
    <n v="4"/>
    <n v="4"/>
    <x v="0"/>
  </r>
  <r>
    <s v="L1658"/>
    <x v="3"/>
    <x v="0"/>
    <x v="2"/>
    <d v="2025-10-02T00:00:00"/>
    <d v="2025-10-06T00:00:00"/>
    <d v="2025-10-10T00:00:00"/>
    <s v="Yes"/>
    <s v="Price"/>
    <m/>
    <x v="2"/>
    <n v="1"/>
    <n v="4"/>
    <n v="4"/>
    <x v="0"/>
  </r>
  <r>
    <s v="L1659"/>
    <x v="1"/>
    <x v="0"/>
    <x v="23"/>
    <d v="2025-10-21T00:00:00"/>
    <d v="2025-10-26T00:00:00"/>
    <d v="2025-10-28T00:00:00"/>
    <s v="No"/>
    <m/>
    <d v="2025-11-14T00:00:00"/>
    <x v="0"/>
    <n v="2"/>
    <n v="5"/>
    <n v="2"/>
    <x v="0"/>
  </r>
  <r>
    <s v="L1660"/>
    <x v="0"/>
    <x v="0"/>
    <x v="3"/>
    <d v="2025-11-02T00:00:00"/>
    <d v="2025-11-06T00:00:00"/>
    <d v="2025-11-12T00:00:00"/>
    <s v="No"/>
    <m/>
    <d v="2025-12-01T00:00:00"/>
    <x v="10"/>
    <n v="5"/>
    <n v="4"/>
    <n v="6"/>
    <x v="0"/>
  </r>
  <r>
    <s v="L1661"/>
    <x v="3"/>
    <x v="0"/>
    <x v="26"/>
    <d v="2025-10-26T00:00:00"/>
    <d v="2025-10-27T00:00:00"/>
    <d v="2025-10-31T00:00:00"/>
    <s v="No"/>
    <m/>
    <d v="2025-11-23T00:00:00"/>
    <x v="3"/>
    <n v="4"/>
    <n v="1"/>
    <n v="4"/>
    <x v="2"/>
  </r>
  <r>
    <s v="L1662"/>
    <x v="0"/>
    <x v="0"/>
    <x v="22"/>
    <d v="2025-10-26T00:00:00"/>
    <d v="2025-10-27T00:00:00"/>
    <d v="2025-10-29T00:00:00"/>
    <s v="No"/>
    <m/>
    <d v="2025-11-18T00:00:00"/>
    <x v="7"/>
    <n v="1"/>
    <n v="1"/>
    <n v="2"/>
    <x v="0"/>
  </r>
  <r>
    <s v="L1663"/>
    <x v="0"/>
    <x v="0"/>
    <x v="15"/>
    <d v="2025-10-26T00:00:00"/>
    <d v="2025-10-28T00:00:00"/>
    <d v="2025-11-03T00:00:00"/>
    <s v="No"/>
    <m/>
    <d v="2025-11-24T00:00:00"/>
    <x v="8"/>
    <n v="2"/>
    <n v="2"/>
    <n v="6"/>
    <x v="0"/>
  </r>
  <r>
    <s v="L1664"/>
    <x v="0"/>
    <x v="0"/>
    <x v="30"/>
    <d v="2025-10-03T00:00:00"/>
    <d v="2025-10-04T00:00:00"/>
    <d v="2025-10-11T00:00:00"/>
    <s v="No"/>
    <m/>
    <d v="2025-10-29T00:00:00"/>
    <x v="3"/>
    <n v="1"/>
    <n v="1"/>
    <n v="7"/>
    <x v="2"/>
  </r>
  <r>
    <s v="L1665"/>
    <x v="2"/>
    <x v="0"/>
    <x v="20"/>
    <d v="2025-11-01T00:00:00"/>
    <d v="2025-11-05T00:00:00"/>
    <d v="2025-11-07T00:00:00"/>
    <s v="No"/>
    <m/>
    <d v="2025-12-05T00:00:00"/>
    <x v="0"/>
    <n v="2"/>
    <n v="4"/>
    <n v="2"/>
    <x v="0"/>
  </r>
  <r>
    <s v="L1666"/>
    <x v="2"/>
    <x v="0"/>
    <x v="18"/>
    <d v="2025-10-23T00:00:00"/>
    <d v="2025-10-27T00:00:00"/>
    <d v="2025-10-30T00:00:00"/>
    <s v="No"/>
    <m/>
    <d v="2025-11-18T00:00:00"/>
    <x v="11"/>
    <n v="3"/>
    <n v="4"/>
    <n v="3"/>
    <x v="1"/>
  </r>
  <r>
    <s v="L1667"/>
    <x v="1"/>
    <x v="0"/>
    <x v="15"/>
    <d v="2025-10-27T00:00:00"/>
    <d v="2025-10-30T00:00:00"/>
    <d v="2025-11-02T00:00:00"/>
    <s v="No"/>
    <m/>
    <d v="2025-11-26T00:00:00"/>
    <x v="6"/>
    <n v="3"/>
    <n v="3"/>
    <n v="3"/>
    <x v="0"/>
  </r>
  <r>
    <s v="L1668"/>
    <x v="1"/>
    <x v="2"/>
    <x v="6"/>
    <d v="2025-10-20T00:00:00"/>
    <d v="2025-10-25T00:00:00"/>
    <d v="2025-10-31T00:00:00"/>
    <s v="No"/>
    <m/>
    <d v="2025-11-13T00:00:00"/>
    <x v="0"/>
    <n v="4"/>
    <n v="5"/>
    <n v="6"/>
    <x v="0"/>
  </r>
  <r>
    <s v="L1669"/>
    <x v="3"/>
    <x v="2"/>
    <x v="5"/>
    <d v="2025-11-01T00:00:00"/>
    <d v="2025-11-02T00:00:00"/>
    <d v="2025-11-04T00:00:00"/>
    <s v="Yes"/>
    <s v="Other"/>
    <m/>
    <x v="2"/>
    <n v="5"/>
    <n v="1"/>
    <n v="2"/>
    <x v="0"/>
  </r>
  <r>
    <s v="L1670"/>
    <x v="1"/>
    <x v="1"/>
    <x v="10"/>
    <m/>
    <m/>
    <m/>
    <s v="Yes"/>
    <s v="Changed Mind"/>
    <m/>
    <x v="2"/>
    <m/>
    <n v="0"/>
    <n v="0"/>
    <x v="0"/>
  </r>
  <r>
    <s v="L1671"/>
    <x v="0"/>
    <x v="0"/>
    <x v="10"/>
    <d v="2025-10-30T00:00:00"/>
    <d v="2025-11-04T00:00:00"/>
    <d v="2025-11-09T00:00:00"/>
    <s v="No"/>
    <m/>
    <d v="2025-12-04T00:00:00"/>
    <x v="6"/>
    <n v="1"/>
    <n v="5"/>
    <n v="5"/>
    <x v="0"/>
  </r>
  <r>
    <s v="L1672"/>
    <x v="0"/>
    <x v="2"/>
    <x v="29"/>
    <d v="2025-10-15T00:00:00"/>
    <d v="2025-10-16T00:00:00"/>
    <d v="2025-10-18T00:00:00"/>
    <s v="No"/>
    <m/>
    <d v="2025-10-29T00:00:00"/>
    <x v="5"/>
    <n v="5"/>
    <n v="1"/>
    <n v="2"/>
    <x v="0"/>
  </r>
  <r>
    <s v="L1673"/>
    <x v="2"/>
    <x v="2"/>
    <x v="22"/>
    <d v="2025-10-27T00:00:00"/>
    <d v="2025-10-29T00:00:00"/>
    <d v="2025-11-03T00:00:00"/>
    <s v="No"/>
    <m/>
    <d v="2025-12-03T00:00:00"/>
    <x v="4"/>
    <n v="2"/>
    <n v="2"/>
    <n v="5"/>
    <x v="2"/>
  </r>
  <r>
    <s v="L1674"/>
    <x v="0"/>
    <x v="2"/>
    <x v="19"/>
    <d v="2025-10-30T00:00:00"/>
    <d v="2025-11-01T00:00:00"/>
    <d v="2025-11-05T00:00:00"/>
    <s v="No"/>
    <m/>
    <d v="2025-12-03T00:00:00"/>
    <x v="1"/>
    <n v="4"/>
    <n v="2"/>
    <n v="4"/>
    <x v="1"/>
  </r>
  <r>
    <s v="L1675"/>
    <x v="3"/>
    <x v="1"/>
    <x v="24"/>
    <m/>
    <m/>
    <m/>
    <s v="Yes"/>
    <s v="Changed Mind"/>
    <m/>
    <x v="2"/>
    <m/>
    <n v="0"/>
    <n v="0"/>
    <x v="0"/>
  </r>
  <r>
    <s v="L1676"/>
    <x v="0"/>
    <x v="0"/>
    <x v="18"/>
    <d v="2025-10-23T00:00:00"/>
    <d v="2025-10-28T00:00:00"/>
    <d v="2025-11-01T00:00:00"/>
    <s v="No"/>
    <m/>
    <d v="2025-11-29T00:00:00"/>
    <x v="4"/>
    <n v="3"/>
    <n v="5"/>
    <n v="4"/>
    <x v="2"/>
  </r>
  <r>
    <s v="L1677"/>
    <x v="0"/>
    <x v="1"/>
    <x v="19"/>
    <m/>
    <m/>
    <m/>
    <s v="Yes"/>
    <s v="Other"/>
    <m/>
    <x v="2"/>
    <m/>
    <n v="0"/>
    <n v="0"/>
    <x v="0"/>
  </r>
  <r>
    <s v="L1678"/>
    <x v="3"/>
    <x v="0"/>
    <x v="9"/>
    <d v="2025-10-15T00:00:00"/>
    <d v="2025-10-19T00:00:00"/>
    <d v="2025-10-23T00:00:00"/>
    <s v="Yes"/>
    <s v="Financing Issue"/>
    <m/>
    <x v="2"/>
    <n v="3"/>
    <n v="4"/>
    <n v="4"/>
    <x v="0"/>
  </r>
  <r>
    <s v="L1679"/>
    <x v="1"/>
    <x v="0"/>
    <x v="24"/>
    <d v="2025-10-12T00:00:00"/>
    <d v="2025-10-15T00:00:00"/>
    <d v="2025-10-17T00:00:00"/>
    <s v="No"/>
    <m/>
    <d v="2025-11-15T00:00:00"/>
    <x v="4"/>
    <n v="4"/>
    <n v="3"/>
    <n v="2"/>
    <x v="2"/>
  </r>
  <r>
    <s v="L1680"/>
    <x v="1"/>
    <x v="0"/>
    <x v="0"/>
    <d v="2025-10-22T00:00:00"/>
    <d v="2025-10-23T00:00:00"/>
    <d v="2025-10-29T00:00:00"/>
    <s v="No"/>
    <m/>
    <d v="2025-11-10T00:00:00"/>
    <x v="0"/>
    <n v="1"/>
    <n v="1"/>
    <n v="6"/>
    <x v="0"/>
  </r>
  <r>
    <s v="L1681"/>
    <x v="3"/>
    <x v="0"/>
    <x v="28"/>
    <d v="2025-10-12T00:00:00"/>
    <d v="2025-10-13T00:00:00"/>
    <d v="2025-10-18T00:00:00"/>
    <s v="No"/>
    <m/>
    <d v="2025-11-12T00:00:00"/>
    <x v="3"/>
    <n v="5"/>
    <n v="1"/>
    <n v="5"/>
    <x v="2"/>
  </r>
  <r>
    <s v="L1682"/>
    <x v="2"/>
    <x v="2"/>
    <x v="18"/>
    <d v="2025-10-22T00:00:00"/>
    <d v="2025-10-25T00:00:00"/>
    <d v="2025-10-27T00:00:00"/>
    <s v="No"/>
    <m/>
    <d v="2025-11-12T00:00:00"/>
    <x v="1"/>
    <n v="2"/>
    <n v="3"/>
    <n v="2"/>
    <x v="1"/>
  </r>
  <r>
    <s v="L1683"/>
    <x v="0"/>
    <x v="1"/>
    <x v="17"/>
    <m/>
    <m/>
    <m/>
    <s v="Yes"/>
    <s v="Price"/>
    <m/>
    <x v="2"/>
    <m/>
    <n v="0"/>
    <n v="0"/>
    <x v="0"/>
  </r>
  <r>
    <s v="L1684"/>
    <x v="3"/>
    <x v="1"/>
    <x v="26"/>
    <m/>
    <m/>
    <m/>
    <s v="Yes"/>
    <s v="Price"/>
    <m/>
    <x v="2"/>
    <m/>
    <n v="0"/>
    <n v="0"/>
    <x v="0"/>
  </r>
  <r>
    <s v="L1685"/>
    <x v="0"/>
    <x v="0"/>
    <x v="22"/>
    <d v="2025-10-30T00:00:00"/>
    <d v="2025-11-04T00:00:00"/>
    <d v="2025-11-08T00:00:00"/>
    <s v="No"/>
    <m/>
    <d v="2025-12-04T00:00:00"/>
    <x v="7"/>
    <n v="5"/>
    <n v="5"/>
    <n v="4"/>
    <x v="0"/>
  </r>
  <r>
    <s v="L1686"/>
    <x v="2"/>
    <x v="1"/>
    <x v="15"/>
    <m/>
    <m/>
    <m/>
    <s v="Yes"/>
    <s v="Changed Mind"/>
    <m/>
    <x v="2"/>
    <m/>
    <n v="0"/>
    <n v="0"/>
    <x v="0"/>
  </r>
  <r>
    <s v="L1687"/>
    <x v="0"/>
    <x v="1"/>
    <x v="22"/>
    <m/>
    <m/>
    <m/>
    <s v="Yes"/>
    <s v="Other"/>
    <m/>
    <x v="2"/>
    <m/>
    <n v="0"/>
    <n v="0"/>
    <x v="0"/>
  </r>
  <r>
    <s v="L1688"/>
    <x v="3"/>
    <x v="0"/>
    <x v="26"/>
    <d v="2025-10-25T00:00:00"/>
    <d v="2025-10-30T00:00:00"/>
    <d v="2025-11-02T00:00:00"/>
    <s v="No"/>
    <m/>
    <d v="2025-11-15T00:00:00"/>
    <x v="7"/>
    <n v="3"/>
    <n v="5"/>
    <n v="3"/>
    <x v="0"/>
  </r>
  <r>
    <s v="L1689"/>
    <x v="0"/>
    <x v="2"/>
    <x v="26"/>
    <d v="2025-10-26T00:00:00"/>
    <d v="2025-10-27T00:00:00"/>
    <d v="2025-10-31T00:00:00"/>
    <s v="No"/>
    <m/>
    <d v="2025-11-22T00:00:00"/>
    <x v="0"/>
    <n v="4"/>
    <n v="1"/>
    <n v="4"/>
    <x v="0"/>
  </r>
  <r>
    <s v="L1690"/>
    <x v="1"/>
    <x v="0"/>
    <x v="5"/>
    <d v="2025-10-30T00:00:00"/>
    <d v="2025-11-01T00:00:00"/>
    <d v="2025-11-07T00:00:00"/>
    <s v="No"/>
    <m/>
    <d v="2025-12-03T00:00:00"/>
    <x v="11"/>
    <n v="3"/>
    <n v="2"/>
    <n v="6"/>
    <x v="1"/>
  </r>
  <r>
    <s v="L1691"/>
    <x v="2"/>
    <x v="0"/>
    <x v="13"/>
    <d v="2025-10-08T00:00:00"/>
    <d v="2025-10-11T00:00:00"/>
    <d v="2025-10-15T00:00:00"/>
    <s v="No"/>
    <m/>
    <d v="2025-11-03T00:00:00"/>
    <x v="9"/>
    <n v="3"/>
    <n v="3"/>
    <n v="4"/>
    <x v="0"/>
  </r>
  <r>
    <s v="L1692"/>
    <x v="2"/>
    <x v="2"/>
    <x v="0"/>
    <d v="2025-10-23T00:00:00"/>
    <d v="2025-10-24T00:00:00"/>
    <d v="2025-10-31T00:00:00"/>
    <s v="No"/>
    <m/>
    <d v="2025-11-23T00:00:00"/>
    <x v="1"/>
    <n v="2"/>
    <n v="1"/>
    <n v="7"/>
    <x v="1"/>
  </r>
  <r>
    <s v="L1693"/>
    <x v="2"/>
    <x v="2"/>
    <x v="7"/>
    <d v="2025-10-05T00:00:00"/>
    <d v="2025-10-07T00:00:00"/>
    <d v="2025-10-13T00:00:00"/>
    <s v="No"/>
    <m/>
    <d v="2025-10-24T00:00:00"/>
    <x v="11"/>
    <n v="1"/>
    <n v="2"/>
    <n v="6"/>
    <x v="1"/>
  </r>
  <r>
    <s v="L1694"/>
    <x v="3"/>
    <x v="0"/>
    <x v="10"/>
    <d v="2025-10-30T00:00:00"/>
    <d v="2025-11-04T00:00:00"/>
    <d v="2025-11-07T00:00:00"/>
    <s v="No"/>
    <m/>
    <d v="2025-11-21T00:00:00"/>
    <x v="0"/>
    <n v="1"/>
    <n v="5"/>
    <n v="3"/>
    <x v="0"/>
  </r>
  <r>
    <s v="L1695"/>
    <x v="2"/>
    <x v="2"/>
    <x v="0"/>
    <d v="2025-10-23T00:00:00"/>
    <d v="2025-10-25T00:00:00"/>
    <d v="2025-10-30T00:00:00"/>
    <s v="No"/>
    <m/>
    <d v="2025-11-13T00:00:00"/>
    <x v="0"/>
    <n v="2"/>
    <n v="2"/>
    <n v="5"/>
    <x v="0"/>
  </r>
  <r>
    <s v="L1696"/>
    <x v="1"/>
    <x v="0"/>
    <x v="0"/>
    <d v="2025-10-25T00:00:00"/>
    <d v="2025-10-29T00:00:00"/>
    <d v="2025-11-02T00:00:00"/>
    <s v="No"/>
    <m/>
    <d v="2025-11-18T00:00:00"/>
    <x v="3"/>
    <n v="4"/>
    <n v="4"/>
    <n v="4"/>
    <x v="2"/>
  </r>
  <r>
    <s v="L1697"/>
    <x v="3"/>
    <x v="1"/>
    <x v="30"/>
    <m/>
    <m/>
    <m/>
    <s v="Yes"/>
    <s v="Price"/>
    <m/>
    <x v="2"/>
    <m/>
    <n v="0"/>
    <n v="0"/>
    <x v="0"/>
  </r>
  <r>
    <s v="L1698"/>
    <x v="1"/>
    <x v="1"/>
    <x v="29"/>
    <m/>
    <m/>
    <m/>
    <s v="Yes"/>
    <s v="Price"/>
    <m/>
    <x v="2"/>
    <m/>
    <n v="0"/>
    <n v="0"/>
    <x v="0"/>
  </r>
  <r>
    <s v="L1699"/>
    <x v="0"/>
    <x v="2"/>
    <x v="19"/>
    <d v="2025-10-31T00:00:00"/>
    <d v="2025-11-01T00:00:00"/>
    <d v="2025-11-07T00:00:00"/>
    <s v="No"/>
    <m/>
    <d v="2025-11-27T00:00:00"/>
    <x v="11"/>
    <n v="5"/>
    <n v="1"/>
    <n v="6"/>
    <x v="1"/>
  </r>
  <r>
    <s v="L1700"/>
    <x v="0"/>
    <x v="1"/>
    <x v="11"/>
    <m/>
    <m/>
    <m/>
    <s v="Yes"/>
    <s v="Financing Issue"/>
    <m/>
    <x v="2"/>
    <m/>
    <n v="0"/>
    <n v="0"/>
    <x v="0"/>
  </r>
  <r>
    <s v="L1701"/>
    <x v="0"/>
    <x v="2"/>
    <x v="30"/>
    <d v="2025-10-06T00:00:00"/>
    <d v="2025-10-09T00:00:00"/>
    <d v="2025-10-14T00:00:00"/>
    <s v="No"/>
    <m/>
    <d v="2025-11-06T00:00:00"/>
    <x v="3"/>
    <n v="4"/>
    <n v="3"/>
    <n v="5"/>
    <x v="2"/>
  </r>
  <r>
    <s v="L1702"/>
    <x v="0"/>
    <x v="2"/>
    <x v="23"/>
    <d v="2025-10-24T00:00:00"/>
    <d v="2025-10-26T00:00:00"/>
    <d v="2025-10-29T00:00:00"/>
    <s v="Yes"/>
    <s v="Model Unavailable"/>
    <m/>
    <x v="2"/>
    <n v="5"/>
    <n v="2"/>
    <n v="3"/>
    <x v="0"/>
  </r>
  <r>
    <s v="L1703"/>
    <x v="1"/>
    <x v="0"/>
    <x v="9"/>
    <d v="2025-10-13T00:00:00"/>
    <d v="2025-10-18T00:00:00"/>
    <d v="2025-10-25T00:00:00"/>
    <s v="No"/>
    <m/>
    <d v="2025-11-22T00:00:00"/>
    <x v="0"/>
    <n v="1"/>
    <n v="5"/>
    <n v="7"/>
    <x v="0"/>
  </r>
  <r>
    <s v="L1704"/>
    <x v="3"/>
    <x v="0"/>
    <x v="15"/>
    <d v="2025-10-27T00:00:00"/>
    <d v="2025-10-29T00:00:00"/>
    <d v="2025-11-04T00:00:00"/>
    <s v="No"/>
    <m/>
    <d v="2025-11-28T00:00:00"/>
    <x v="3"/>
    <n v="3"/>
    <n v="2"/>
    <n v="6"/>
    <x v="2"/>
  </r>
  <r>
    <s v="L1705"/>
    <x v="3"/>
    <x v="0"/>
    <x v="13"/>
    <d v="2025-10-08T00:00:00"/>
    <d v="2025-10-13T00:00:00"/>
    <d v="2025-10-16T00:00:00"/>
    <s v="No"/>
    <m/>
    <d v="2025-10-30T00:00:00"/>
    <x v="0"/>
    <n v="3"/>
    <n v="5"/>
    <n v="3"/>
    <x v="0"/>
  </r>
  <r>
    <s v="L1706"/>
    <x v="2"/>
    <x v="0"/>
    <x v="25"/>
    <d v="2025-10-07T00:00:00"/>
    <d v="2025-10-11T00:00:00"/>
    <d v="2025-10-14T00:00:00"/>
    <s v="No"/>
    <m/>
    <d v="2025-11-03T00:00:00"/>
    <x v="5"/>
    <n v="4"/>
    <n v="4"/>
    <n v="3"/>
    <x v="0"/>
  </r>
  <r>
    <s v="L1707"/>
    <x v="1"/>
    <x v="2"/>
    <x v="20"/>
    <d v="2025-11-01T00:00:00"/>
    <d v="2025-11-06T00:00:00"/>
    <d v="2025-11-08T00:00:00"/>
    <s v="Yes"/>
    <s v="Changed Mind"/>
    <m/>
    <x v="2"/>
    <n v="2"/>
    <n v="5"/>
    <n v="2"/>
    <x v="0"/>
  </r>
  <r>
    <s v="L1708"/>
    <x v="0"/>
    <x v="2"/>
    <x v="29"/>
    <d v="2025-10-15T00:00:00"/>
    <d v="2025-10-18T00:00:00"/>
    <d v="2025-10-23T00:00:00"/>
    <s v="No"/>
    <m/>
    <d v="2025-11-07T00:00:00"/>
    <x v="0"/>
    <n v="5"/>
    <n v="3"/>
    <n v="5"/>
    <x v="0"/>
  </r>
  <r>
    <s v="L1709"/>
    <x v="1"/>
    <x v="0"/>
    <x v="1"/>
    <d v="2025-10-14T00:00:00"/>
    <d v="2025-10-18T00:00:00"/>
    <d v="2025-10-20T00:00:00"/>
    <s v="No"/>
    <m/>
    <d v="2025-11-01T00:00:00"/>
    <x v="5"/>
    <n v="3"/>
    <n v="4"/>
    <n v="2"/>
    <x v="0"/>
  </r>
  <r>
    <s v="L1710"/>
    <x v="2"/>
    <x v="0"/>
    <x v="15"/>
    <d v="2025-10-28T00:00:00"/>
    <d v="2025-10-30T00:00:00"/>
    <d v="2025-11-02T00:00:00"/>
    <s v="No"/>
    <m/>
    <d v="2025-11-27T00:00:00"/>
    <x v="1"/>
    <n v="4"/>
    <n v="2"/>
    <n v="3"/>
    <x v="1"/>
  </r>
  <r>
    <s v="L1711"/>
    <x v="2"/>
    <x v="0"/>
    <x v="4"/>
    <d v="2025-10-16T00:00:00"/>
    <d v="2025-10-17T00:00:00"/>
    <d v="2025-10-23T00:00:00"/>
    <s v="No"/>
    <m/>
    <d v="2025-11-12T00:00:00"/>
    <x v="0"/>
    <n v="2"/>
    <n v="1"/>
    <n v="6"/>
    <x v="0"/>
  </r>
  <r>
    <s v="L1712"/>
    <x v="1"/>
    <x v="2"/>
    <x v="14"/>
    <d v="2025-10-07T00:00:00"/>
    <d v="2025-10-12T00:00:00"/>
    <d v="2025-10-16T00:00:00"/>
    <s v="No"/>
    <m/>
    <d v="2025-11-15T00:00:00"/>
    <x v="7"/>
    <n v="1"/>
    <n v="5"/>
    <n v="4"/>
    <x v="0"/>
  </r>
  <r>
    <s v="L1713"/>
    <x v="1"/>
    <x v="0"/>
    <x v="28"/>
    <d v="2025-10-09T00:00:00"/>
    <d v="2025-10-12T00:00:00"/>
    <d v="2025-10-19T00:00:00"/>
    <s v="No"/>
    <m/>
    <d v="2025-11-03T00:00:00"/>
    <x v="1"/>
    <n v="2"/>
    <n v="3"/>
    <n v="7"/>
    <x v="1"/>
  </r>
  <r>
    <s v="L1714"/>
    <x v="1"/>
    <x v="2"/>
    <x v="13"/>
    <d v="2025-10-06T00:00:00"/>
    <d v="2025-10-07T00:00:00"/>
    <d v="2025-10-14T00:00:00"/>
    <s v="No"/>
    <m/>
    <d v="2025-11-03T00:00:00"/>
    <x v="11"/>
    <n v="1"/>
    <n v="1"/>
    <n v="7"/>
    <x v="1"/>
  </r>
  <r>
    <s v="L1715"/>
    <x v="3"/>
    <x v="2"/>
    <x v="19"/>
    <d v="2025-10-30T00:00:00"/>
    <d v="2025-10-31T00:00:00"/>
    <d v="2025-11-02T00:00:00"/>
    <s v="No"/>
    <m/>
    <d v="2025-12-02T00:00:00"/>
    <x v="11"/>
    <n v="4"/>
    <n v="1"/>
    <n v="2"/>
    <x v="1"/>
  </r>
  <r>
    <s v="L1716"/>
    <x v="0"/>
    <x v="0"/>
    <x v="21"/>
    <d v="2025-10-20T00:00:00"/>
    <d v="2025-10-24T00:00:00"/>
    <d v="2025-10-28T00:00:00"/>
    <s v="No"/>
    <m/>
    <d v="2025-11-08T00:00:00"/>
    <x v="3"/>
    <n v="2"/>
    <n v="4"/>
    <n v="4"/>
    <x v="2"/>
  </r>
  <r>
    <s v="L1717"/>
    <x v="1"/>
    <x v="2"/>
    <x v="10"/>
    <d v="2025-11-02T00:00:00"/>
    <d v="2025-11-04T00:00:00"/>
    <d v="2025-11-06T00:00:00"/>
    <s v="No"/>
    <m/>
    <d v="2025-11-16T00:00:00"/>
    <x v="11"/>
    <n v="4"/>
    <n v="2"/>
    <n v="2"/>
    <x v="1"/>
  </r>
  <r>
    <s v="L1718"/>
    <x v="1"/>
    <x v="2"/>
    <x v="9"/>
    <d v="2025-10-13T00:00:00"/>
    <d v="2025-10-14T00:00:00"/>
    <d v="2025-10-21T00:00:00"/>
    <s v="No"/>
    <m/>
    <d v="2025-11-14T00:00:00"/>
    <x v="0"/>
    <n v="1"/>
    <n v="1"/>
    <n v="7"/>
    <x v="0"/>
  </r>
  <r>
    <s v="L1719"/>
    <x v="1"/>
    <x v="0"/>
    <x v="16"/>
    <d v="2025-10-20T00:00:00"/>
    <d v="2025-10-23T00:00:00"/>
    <d v="2025-10-28T00:00:00"/>
    <s v="No"/>
    <m/>
    <d v="2025-11-15T00:00:00"/>
    <x v="11"/>
    <n v="3"/>
    <n v="3"/>
    <n v="5"/>
    <x v="1"/>
  </r>
  <r>
    <s v="L1720"/>
    <x v="2"/>
    <x v="0"/>
    <x v="16"/>
    <d v="2025-10-20T00:00:00"/>
    <d v="2025-10-25T00:00:00"/>
    <d v="2025-11-01T00:00:00"/>
    <s v="No"/>
    <m/>
    <d v="2025-11-17T00:00:00"/>
    <x v="8"/>
    <n v="3"/>
    <n v="5"/>
    <n v="7"/>
    <x v="0"/>
  </r>
  <r>
    <s v="L1721"/>
    <x v="2"/>
    <x v="0"/>
    <x v="20"/>
    <d v="2025-10-31T00:00:00"/>
    <d v="2025-11-05T00:00:00"/>
    <d v="2025-11-12T00:00:00"/>
    <s v="No"/>
    <m/>
    <d v="2025-11-27T00:00:00"/>
    <x v="5"/>
    <n v="1"/>
    <n v="5"/>
    <n v="7"/>
    <x v="0"/>
  </r>
  <r>
    <s v="L1722"/>
    <x v="3"/>
    <x v="2"/>
    <x v="17"/>
    <d v="2025-10-14T00:00:00"/>
    <d v="2025-10-19T00:00:00"/>
    <d v="2025-10-23T00:00:00"/>
    <s v="No"/>
    <m/>
    <d v="2025-11-20T00:00:00"/>
    <x v="9"/>
    <n v="5"/>
    <n v="5"/>
    <n v="4"/>
    <x v="0"/>
  </r>
  <r>
    <s v="L1723"/>
    <x v="0"/>
    <x v="2"/>
    <x v="5"/>
    <d v="2025-11-01T00:00:00"/>
    <d v="2025-11-05T00:00:00"/>
    <d v="2025-11-07T00:00:00"/>
    <s v="No"/>
    <m/>
    <d v="2025-11-22T00:00:00"/>
    <x v="8"/>
    <n v="5"/>
    <n v="4"/>
    <n v="2"/>
    <x v="0"/>
  </r>
  <r>
    <s v="L1724"/>
    <x v="3"/>
    <x v="2"/>
    <x v="14"/>
    <d v="2025-10-09T00:00:00"/>
    <d v="2025-10-12T00:00:00"/>
    <d v="2025-10-15T00:00:00"/>
    <s v="No"/>
    <m/>
    <d v="2025-11-09T00:00:00"/>
    <x v="4"/>
    <n v="3"/>
    <n v="3"/>
    <n v="3"/>
    <x v="2"/>
  </r>
  <r>
    <s v="L1725"/>
    <x v="0"/>
    <x v="2"/>
    <x v="17"/>
    <d v="2025-10-12T00:00:00"/>
    <d v="2025-10-13T00:00:00"/>
    <d v="2025-10-19T00:00:00"/>
    <s v="No"/>
    <m/>
    <d v="2025-10-31T00:00:00"/>
    <x v="1"/>
    <n v="3"/>
    <n v="1"/>
    <n v="6"/>
    <x v="1"/>
  </r>
  <r>
    <s v="L1726"/>
    <x v="2"/>
    <x v="0"/>
    <x v="20"/>
    <d v="2025-11-01T00:00:00"/>
    <d v="2025-11-04T00:00:00"/>
    <d v="2025-11-07T00:00:00"/>
    <s v="No"/>
    <m/>
    <d v="2025-11-21T00:00:00"/>
    <x v="4"/>
    <n v="2"/>
    <n v="3"/>
    <n v="3"/>
    <x v="2"/>
  </r>
  <r>
    <s v="L1727"/>
    <x v="2"/>
    <x v="1"/>
    <x v="5"/>
    <m/>
    <m/>
    <m/>
    <s v="Yes"/>
    <s v="Changed Mind"/>
    <m/>
    <x v="2"/>
    <m/>
    <n v="0"/>
    <n v="0"/>
    <x v="0"/>
  </r>
  <r>
    <s v="L1728"/>
    <x v="2"/>
    <x v="0"/>
    <x v="8"/>
    <d v="2025-11-02T00:00:00"/>
    <d v="2025-11-06T00:00:00"/>
    <d v="2025-11-11T00:00:00"/>
    <s v="No"/>
    <m/>
    <d v="2025-12-10T00:00:00"/>
    <x v="9"/>
    <n v="2"/>
    <n v="4"/>
    <n v="5"/>
    <x v="0"/>
  </r>
  <r>
    <s v="L1729"/>
    <x v="3"/>
    <x v="0"/>
    <x v="6"/>
    <d v="2025-10-19T00:00:00"/>
    <d v="2025-10-23T00:00:00"/>
    <d v="2025-10-28T00:00:00"/>
    <s v="No"/>
    <m/>
    <d v="2025-11-20T00:00:00"/>
    <x v="3"/>
    <n v="3"/>
    <n v="4"/>
    <n v="5"/>
    <x v="2"/>
  </r>
  <r>
    <s v="L1730"/>
    <x v="1"/>
    <x v="0"/>
    <x v="8"/>
    <d v="2025-11-05T00:00:00"/>
    <d v="2025-11-07T00:00:00"/>
    <d v="2025-11-09T00:00:00"/>
    <s v="No"/>
    <m/>
    <d v="2025-12-09T00:00:00"/>
    <x v="10"/>
    <n v="5"/>
    <n v="2"/>
    <n v="2"/>
    <x v="0"/>
  </r>
  <r>
    <s v="L1731"/>
    <x v="1"/>
    <x v="0"/>
    <x v="19"/>
    <d v="2025-10-28T00:00:00"/>
    <d v="2025-10-31T00:00:00"/>
    <d v="2025-11-03T00:00:00"/>
    <s v="No"/>
    <m/>
    <d v="2025-11-26T00:00:00"/>
    <x v="1"/>
    <n v="2"/>
    <n v="3"/>
    <n v="3"/>
    <x v="1"/>
  </r>
  <r>
    <s v="L1732"/>
    <x v="2"/>
    <x v="0"/>
    <x v="29"/>
    <d v="2025-10-11T00:00:00"/>
    <d v="2025-10-16T00:00:00"/>
    <d v="2025-10-23T00:00:00"/>
    <s v="No"/>
    <m/>
    <d v="2025-11-14T00:00:00"/>
    <x v="5"/>
    <n v="1"/>
    <n v="5"/>
    <n v="7"/>
    <x v="0"/>
  </r>
  <r>
    <s v="L1733"/>
    <x v="1"/>
    <x v="0"/>
    <x v="15"/>
    <d v="2025-10-26T00:00:00"/>
    <d v="2025-10-30T00:00:00"/>
    <d v="2025-11-03T00:00:00"/>
    <s v="No"/>
    <m/>
    <d v="2025-11-26T00:00:00"/>
    <x v="8"/>
    <n v="2"/>
    <n v="4"/>
    <n v="4"/>
    <x v="0"/>
  </r>
  <r>
    <s v="L1734"/>
    <x v="1"/>
    <x v="0"/>
    <x v="3"/>
    <d v="2025-10-30T00:00:00"/>
    <d v="2025-11-03T00:00:00"/>
    <d v="2025-11-05T00:00:00"/>
    <s v="No"/>
    <m/>
    <d v="2025-11-30T00:00:00"/>
    <x v="8"/>
    <n v="2"/>
    <n v="4"/>
    <n v="2"/>
    <x v="0"/>
  </r>
  <r>
    <s v="L1735"/>
    <x v="3"/>
    <x v="2"/>
    <x v="1"/>
    <d v="2025-10-13T00:00:00"/>
    <d v="2025-10-15T00:00:00"/>
    <d v="2025-10-17T00:00:00"/>
    <s v="No"/>
    <m/>
    <d v="2025-11-08T00:00:00"/>
    <x v="3"/>
    <n v="2"/>
    <n v="2"/>
    <n v="2"/>
    <x v="2"/>
  </r>
  <r>
    <s v="L1736"/>
    <x v="0"/>
    <x v="0"/>
    <x v="19"/>
    <d v="2025-10-30T00:00:00"/>
    <d v="2025-11-04T00:00:00"/>
    <d v="2025-11-07T00:00:00"/>
    <s v="No"/>
    <m/>
    <d v="2025-11-17T00:00:00"/>
    <x v="6"/>
    <n v="4"/>
    <n v="5"/>
    <n v="3"/>
    <x v="0"/>
  </r>
  <r>
    <s v="L1737"/>
    <x v="2"/>
    <x v="1"/>
    <x v="7"/>
    <m/>
    <m/>
    <m/>
    <s v="Yes"/>
    <s v="Model Unavailable"/>
    <m/>
    <x v="2"/>
    <m/>
    <n v="0"/>
    <n v="0"/>
    <x v="0"/>
  </r>
  <r>
    <s v="L1738"/>
    <x v="2"/>
    <x v="2"/>
    <x v="11"/>
    <d v="2025-10-16T00:00:00"/>
    <d v="2025-10-20T00:00:00"/>
    <d v="2025-10-26T00:00:00"/>
    <s v="No"/>
    <m/>
    <d v="2025-11-06T00:00:00"/>
    <x v="11"/>
    <n v="1"/>
    <n v="4"/>
    <n v="6"/>
    <x v="1"/>
  </r>
  <r>
    <s v="L1739"/>
    <x v="3"/>
    <x v="2"/>
    <x v="8"/>
    <d v="2025-11-03T00:00:00"/>
    <d v="2025-11-04T00:00:00"/>
    <d v="2025-11-09T00:00:00"/>
    <s v="No"/>
    <m/>
    <d v="2025-12-06T00:00:00"/>
    <x v="11"/>
    <n v="3"/>
    <n v="1"/>
    <n v="5"/>
    <x v="1"/>
  </r>
  <r>
    <s v="L1740"/>
    <x v="3"/>
    <x v="0"/>
    <x v="25"/>
    <d v="2025-10-08T00:00:00"/>
    <d v="2025-10-13T00:00:00"/>
    <d v="2025-10-20T00:00:00"/>
    <s v="No"/>
    <m/>
    <d v="2025-11-05T00:00:00"/>
    <x v="10"/>
    <n v="5"/>
    <n v="5"/>
    <n v="7"/>
    <x v="0"/>
  </r>
  <r>
    <s v="L1741"/>
    <x v="1"/>
    <x v="0"/>
    <x v="13"/>
    <d v="2025-10-10T00:00:00"/>
    <d v="2025-10-13T00:00:00"/>
    <d v="2025-10-17T00:00:00"/>
    <s v="No"/>
    <m/>
    <d v="2025-11-07T00:00:00"/>
    <x v="0"/>
    <n v="5"/>
    <n v="3"/>
    <n v="4"/>
    <x v="0"/>
  </r>
  <r>
    <s v="L1742"/>
    <x v="2"/>
    <x v="0"/>
    <x v="22"/>
    <d v="2025-10-28T00:00:00"/>
    <d v="2025-10-30T00:00:00"/>
    <d v="2025-11-04T00:00:00"/>
    <s v="No"/>
    <m/>
    <d v="2025-11-14T00:00:00"/>
    <x v="0"/>
    <n v="3"/>
    <n v="2"/>
    <n v="5"/>
    <x v="0"/>
  </r>
  <r>
    <s v="L1743"/>
    <x v="0"/>
    <x v="0"/>
    <x v="8"/>
    <d v="2025-11-04T00:00:00"/>
    <d v="2025-11-05T00:00:00"/>
    <d v="2025-11-12T00:00:00"/>
    <s v="No"/>
    <m/>
    <d v="2025-12-02T00:00:00"/>
    <x v="10"/>
    <n v="4"/>
    <n v="1"/>
    <n v="7"/>
    <x v="0"/>
  </r>
  <r>
    <s v="L1744"/>
    <x v="3"/>
    <x v="2"/>
    <x v="24"/>
    <d v="2025-10-13T00:00:00"/>
    <d v="2025-10-14T00:00:00"/>
    <d v="2025-10-16T00:00:00"/>
    <s v="No"/>
    <m/>
    <d v="2025-11-11T00:00:00"/>
    <x v="7"/>
    <n v="5"/>
    <n v="1"/>
    <n v="2"/>
    <x v="0"/>
  </r>
  <r>
    <s v="L1745"/>
    <x v="0"/>
    <x v="0"/>
    <x v="3"/>
    <d v="2025-10-30T00:00:00"/>
    <d v="2025-11-02T00:00:00"/>
    <d v="2025-11-08T00:00:00"/>
    <s v="No"/>
    <m/>
    <d v="2025-11-24T00:00:00"/>
    <x v="3"/>
    <n v="2"/>
    <n v="3"/>
    <n v="6"/>
    <x v="2"/>
  </r>
  <r>
    <s v="L1746"/>
    <x v="0"/>
    <x v="0"/>
    <x v="26"/>
    <d v="2025-10-27T00:00:00"/>
    <d v="2025-10-29T00:00:00"/>
    <d v="2025-10-31T00:00:00"/>
    <s v="Yes"/>
    <s v="Price"/>
    <m/>
    <x v="2"/>
    <n v="5"/>
    <n v="2"/>
    <n v="2"/>
    <x v="0"/>
  </r>
  <r>
    <s v="L1747"/>
    <x v="2"/>
    <x v="1"/>
    <x v="15"/>
    <m/>
    <m/>
    <m/>
    <s v="Yes"/>
    <s v="Financing Issue"/>
    <m/>
    <x v="2"/>
    <m/>
    <n v="0"/>
    <n v="0"/>
    <x v="0"/>
  </r>
  <r>
    <s v="L1748"/>
    <x v="2"/>
    <x v="0"/>
    <x v="26"/>
    <d v="2025-10-23T00:00:00"/>
    <d v="2025-10-27T00:00:00"/>
    <d v="2025-11-02T00:00:00"/>
    <s v="No"/>
    <m/>
    <d v="2025-11-12T00:00:00"/>
    <x v="11"/>
    <n v="1"/>
    <n v="4"/>
    <n v="6"/>
    <x v="1"/>
  </r>
  <r>
    <s v="L1749"/>
    <x v="3"/>
    <x v="2"/>
    <x v="27"/>
    <d v="2025-10-14T00:00:00"/>
    <d v="2025-10-16T00:00:00"/>
    <d v="2025-10-19T00:00:00"/>
    <s v="No"/>
    <m/>
    <d v="2025-10-29T00:00:00"/>
    <x v="6"/>
    <n v="1"/>
    <n v="2"/>
    <n v="3"/>
    <x v="0"/>
  </r>
  <r>
    <s v="L1750"/>
    <x v="2"/>
    <x v="2"/>
    <x v="8"/>
    <d v="2025-11-03T00:00:00"/>
    <d v="2025-11-07T00:00:00"/>
    <d v="2025-11-14T00:00:00"/>
    <s v="No"/>
    <m/>
    <d v="2025-12-14T00:00:00"/>
    <x v="11"/>
    <n v="3"/>
    <n v="4"/>
    <n v="7"/>
    <x v="1"/>
  </r>
  <r>
    <s v="L1751"/>
    <x v="2"/>
    <x v="2"/>
    <x v="3"/>
    <d v="2025-11-01T00:00:00"/>
    <d v="2025-11-04T00:00:00"/>
    <d v="2025-11-09T00:00:00"/>
    <s v="No"/>
    <m/>
    <d v="2025-11-26T00:00:00"/>
    <x v="8"/>
    <n v="4"/>
    <n v="3"/>
    <n v="5"/>
    <x v="0"/>
  </r>
  <r>
    <s v="L1752"/>
    <x v="2"/>
    <x v="0"/>
    <x v="19"/>
    <d v="2025-10-30T00:00:00"/>
    <d v="2025-11-02T00:00:00"/>
    <d v="2025-11-04T00:00:00"/>
    <s v="No"/>
    <m/>
    <d v="2025-11-21T00:00:00"/>
    <x v="8"/>
    <n v="4"/>
    <n v="3"/>
    <n v="2"/>
    <x v="0"/>
  </r>
  <r>
    <s v="L1753"/>
    <x v="0"/>
    <x v="2"/>
    <x v="21"/>
    <d v="2025-10-23T00:00:00"/>
    <d v="2025-10-24T00:00:00"/>
    <d v="2025-10-30T00:00:00"/>
    <s v="No"/>
    <m/>
    <d v="2025-11-20T00:00:00"/>
    <x v="3"/>
    <n v="5"/>
    <n v="1"/>
    <n v="6"/>
    <x v="2"/>
  </r>
  <r>
    <s v="L1754"/>
    <x v="3"/>
    <x v="0"/>
    <x v="9"/>
    <d v="2025-10-16T00:00:00"/>
    <d v="2025-10-17T00:00:00"/>
    <d v="2025-10-23T00:00:00"/>
    <s v="No"/>
    <m/>
    <d v="2025-11-11T00:00:00"/>
    <x v="5"/>
    <n v="4"/>
    <n v="1"/>
    <n v="6"/>
    <x v="0"/>
  </r>
  <r>
    <s v="L1755"/>
    <x v="1"/>
    <x v="0"/>
    <x v="25"/>
    <d v="2025-10-07T00:00:00"/>
    <d v="2025-10-08T00:00:00"/>
    <d v="2025-10-10T00:00:00"/>
    <s v="No"/>
    <m/>
    <d v="2025-10-24T00:00:00"/>
    <x v="7"/>
    <n v="4"/>
    <n v="1"/>
    <n v="2"/>
    <x v="0"/>
  </r>
  <r>
    <s v="L1756"/>
    <x v="0"/>
    <x v="2"/>
    <x v="19"/>
    <d v="2025-10-31T00:00:00"/>
    <d v="2025-11-03T00:00:00"/>
    <d v="2025-11-08T00:00:00"/>
    <s v="No"/>
    <m/>
    <d v="2025-11-21T00:00:00"/>
    <x v="11"/>
    <n v="5"/>
    <n v="3"/>
    <n v="5"/>
    <x v="1"/>
  </r>
  <r>
    <s v="L1757"/>
    <x v="2"/>
    <x v="2"/>
    <x v="27"/>
    <d v="2025-10-14T00:00:00"/>
    <d v="2025-10-18T00:00:00"/>
    <d v="2025-10-25T00:00:00"/>
    <s v="No"/>
    <m/>
    <d v="2025-11-16T00:00:00"/>
    <x v="5"/>
    <n v="1"/>
    <n v="4"/>
    <n v="7"/>
    <x v="0"/>
  </r>
  <r>
    <s v="L1758"/>
    <x v="0"/>
    <x v="2"/>
    <x v="2"/>
    <d v="2025-10-03T00:00:00"/>
    <d v="2025-10-06T00:00:00"/>
    <d v="2025-10-09T00:00:00"/>
    <s v="No"/>
    <m/>
    <d v="2025-11-04T00:00:00"/>
    <x v="5"/>
    <n v="2"/>
    <n v="3"/>
    <n v="3"/>
    <x v="0"/>
  </r>
  <r>
    <s v="L1759"/>
    <x v="2"/>
    <x v="1"/>
    <x v="17"/>
    <m/>
    <m/>
    <m/>
    <s v="Yes"/>
    <s v="Financing Issue"/>
    <m/>
    <x v="2"/>
    <m/>
    <n v="0"/>
    <n v="0"/>
    <x v="0"/>
  </r>
  <r>
    <s v="L1760"/>
    <x v="2"/>
    <x v="2"/>
    <x v="21"/>
    <d v="2025-10-21T00:00:00"/>
    <d v="2025-10-24T00:00:00"/>
    <d v="2025-10-27T00:00:00"/>
    <s v="No"/>
    <m/>
    <d v="2025-11-24T00:00:00"/>
    <x v="0"/>
    <n v="3"/>
    <n v="3"/>
    <n v="3"/>
    <x v="0"/>
  </r>
  <r>
    <s v="L1761"/>
    <x v="0"/>
    <x v="0"/>
    <x v="7"/>
    <d v="2025-10-05T00:00:00"/>
    <d v="2025-10-06T00:00:00"/>
    <d v="2025-10-10T00:00:00"/>
    <s v="No"/>
    <m/>
    <d v="2025-10-29T00:00:00"/>
    <x v="1"/>
    <n v="1"/>
    <n v="1"/>
    <n v="4"/>
    <x v="1"/>
  </r>
  <r>
    <s v="L1762"/>
    <x v="3"/>
    <x v="1"/>
    <x v="11"/>
    <m/>
    <m/>
    <m/>
    <s v="Yes"/>
    <s v="Changed Mind"/>
    <m/>
    <x v="2"/>
    <m/>
    <n v="0"/>
    <n v="0"/>
    <x v="0"/>
  </r>
  <r>
    <s v="L1763"/>
    <x v="2"/>
    <x v="0"/>
    <x v="9"/>
    <d v="2025-10-16T00:00:00"/>
    <d v="2025-10-18T00:00:00"/>
    <d v="2025-10-22T00:00:00"/>
    <s v="Yes"/>
    <s v="Financing Issue"/>
    <m/>
    <x v="2"/>
    <n v="4"/>
    <n v="2"/>
    <n v="4"/>
    <x v="0"/>
  </r>
  <r>
    <s v="L1764"/>
    <x v="3"/>
    <x v="1"/>
    <x v="26"/>
    <m/>
    <m/>
    <m/>
    <s v="Yes"/>
    <s v="Model Unavailable"/>
    <m/>
    <x v="2"/>
    <m/>
    <n v="0"/>
    <n v="0"/>
    <x v="0"/>
  </r>
  <r>
    <s v="L1765"/>
    <x v="1"/>
    <x v="0"/>
    <x v="15"/>
    <d v="2025-10-28T00:00:00"/>
    <d v="2025-10-29T00:00:00"/>
    <d v="2025-11-02T00:00:00"/>
    <s v="No"/>
    <m/>
    <d v="2025-11-17T00:00:00"/>
    <x v="10"/>
    <n v="4"/>
    <n v="1"/>
    <n v="4"/>
    <x v="0"/>
  </r>
  <r>
    <s v="L1766"/>
    <x v="2"/>
    <x v="1"/>
    <x v="26"/>
    <m/>
    <m/>
    <m/>
    <s v="Yes"/>
    <s v="Price"/>
    <m/>
    <x v="2"/>
    <m/>
    <n v="0"/>
    <n v="0"/>
    <x v="0"/>
  </r>
  <r>
    <s v="L1767"/>
    <x v="3"/>
    <x v="2"/>
    <x v="17"/>
    <d v="2025-10-14T00:00:00"/>
    <d v="2025-10-16T00:00:00"/>
    <d v="2025-10-21T00:00:00"/>
    <s v="No"/>
    <m/>
    <d v="2025-11-02T00:00:00"/>
    <x v="6"/>
    <n v="5"/>
    <n v="2"/>
    <n v="5"/>
    <x v="0"/>
  </r>
  <r>
    <s v="L1768"/>
    <x v="3"/>
    <x v="2"/>
    <x v="23"/>
    <d v="2025-10-22T00:00:00"/>
    <d v="2025-10-26T00:00:00"/>
    <d v="2025-11-02T00:00:00"/>
    <s v="No"/>
    <m/>
    <d v="2025-11-13T00:00:00"/>
    <x v="8"/>
    <n v="3"/>
    <n v="4"/>
    <n v="7"/>
    <x v="0"/>
  </r>
  <r>
    <s v="L1769"/>
    <x v="1"/>
    <x v="0"/>
    <x v="27"/>
    <d v="2025-10-15T00:00:00"/>
    <d v="2025-10-19T00:00:00"/>
    <d v="2025-10-26T00:00:00"/>
    <s v="No"/>
    <m/>
    <d v="2025-11-14T00:00:00"/>
    <x v="6"/>
    <n v="2"/>
    <n v="4"/>
    <n v="7"/>
    <x v="0"/>
  </r>
  <r>
    <s v="L1770"/>
    <x v="3"/>
    <x v="1"/>
    <x v="5"/>
    <m/>
    <m/>
    <m/>
    <s v="Yes"/>
    <s v="Model Unavailable"/>
    <m/>
    <x v="2"/>
    <m/>
    <n v="0"/>
    <n v="0"/>
    <x v="0"/>
  </r>
  <r>
    <s v="L1771"/>
    <x v="3"/>
    <x v="1"/>
    <x v="0"/>
    <m/>
    <m/>
    <m/>
    <s v="Yes"/>
    <s v="Other"/>
    <m/>
    <x v="2"/>
    <m/>
    <n v="0"/>
    <n v="0"/>
    <x v="0"/>
  </r>
  <r>
    <s v="L1772"/>
    <x v="1"/>
    <x v="2"/>
    <x v="8"/>
    <d v="2025-11-05T00:00:00"/>
    <d v="2025-11-10T00:00:00"/>
    <d v="2025-11-14T00:00:00"/>
    <s v="No"/>
    <m/>
    <d v="2025-12-03T00:00:00"/>
    <x v="8"/>
    <n v="5"/>
    <n v="5"/>
    <n v="4"/>
    <x v="0"/>
  </r>
  <r>
    <s v="L1773"/>
    <x v="2"/>
    <x v="2"/>
    <x v="9"/>
    <d v="2025-10-17T00:00:00"/>
    <d v="2025-10-22T00:00:00"/>
    <d v="2025-10-26T00:00:00"/>
    <s v="No"/>
    <m/>
    <d v="2025-11-19T00:00:00"/>
    <x v="10"/>
    <n v="5"/>
    <n v="5"/>
    <n v="4"/>
    <x v="0"/>
  </r>
  <r>
    <s v="L1774"/>
    <x v="3"/>
    <x v="1"/>
    <x v="7"/>
    <m/>
    <m/>
    <m/>
    <s v="Yes"/>
    <s v="Changed Mind"/>
    <m/>
    <x v="2"/>
    <m/>
    <n v="0"/>
    <n v="0"/>
    <x v="0"/>
  </r>
  <r>
    <s v="L1775"/>
    <x v="3"/>
    <x v="2"/>
    <x v="26"/>
    <d v="2025-10-24T00:00:00"/>
    <d v="2025-10-29T00:00:00"/>
    <d v="2025-11-03T00:00:00"/>
    <s v="No"/>
    <m/>
    <d v="2025-11-29T00:00:00"/>
    <x v="4"/>
    <n v="2"/>
    <n v="5"/>
    <n v="5"/>
    <x v="2"/>
  </r>
  <r>
    <s v="L1776"/>
    <x v="3"/>
    <x v="0"/>
    <x v="24"/>
    <d v="2025-10-10T00:00:00"/>
    <d v="2025-10-14T00:00:00"/>
    <d v="2025-10-18T00:00:00"/>
    <s v="No"/>
    <m/>
    <d v="2025-11-16T00:00:00"/>
    <x v="10"/>
    <n v="2"/>
    <n v="4"/>
    <n v="4"/>
    <x v="0"/>
  </r>
  <r>
    <s v="L1777"/>
    <x v="0"/>
    <x v="1"/>
    <x v="6"/>
    <m/>
    <m/>
    <m/>
    <s v="Yes"/>
    <s v="Financing Issue"/>
    <m/>
    <x v="2"/>
    <m/>
    <n v="0"/>
    <n v="0"/>
    <x v="0"/>
  </r>
  <r>
    <s v="L1778"/>
    <x v="1"/>
    <x v="0"/>
    <x v="2"/>
    <d v="2025-10-05T00:00:00"/>
    <d v="2025-10-06T00:00:00"/>
    <d v="2025-10-09T00:00:00"/>
    <s v="No"/>
    <m/>
    <d v="2025-11-04T00:00:00"/>
    <x v="9"/>
    <n v="4"/>
    <n v="1"/>
    <n v="3"/>
    <x v="0"/>
  </r>
  <r>
    <s v="L1779"/>
    <x v="0"/>
    <x v="0"/>
    <x v="18"/>
    <d v="2025-10-25T00:00:00"/>
    <d v="2025-10-26T00:00:00"/>
    <d v="2025-10-28T00:00:00"/>
    <s v="No"/>
    <m/>
    <d v="2025-11-17T00:00:00"/>
    <x v="0"/>
    <n v="5"/>
    <n v="1"/>
    <n v="2"/>
    <x v="0"/>
  </r>
  <r>
    <s v="L1780"/>
    <x v="1"/>
    <x v="0"/>
    <x v="10"/>
    <d v="2025-10-30T00:00:00"/>
    <d v="2025-10-31T00:00:00"/>
    <d v="2025-11-03T00:00:00"/>
    <s v="No"/>
    <m/>
    <d v="2025-11-26T00:00:00"/>
    <x v="0"/>
    <n v="1"/>
    <n v="1"/>
    <n v="3"/>
    <x v="0"/>
  </r>
  <r>
    <s v="L1781"/>
    <x v="2"/>
    <x v="2"/>
    <x v="8"/>
    <d v="2025-11-01T00:00:00"/>
    <d v="2025-11-04T00:00:00"/>
    <d v="2025-11-07T00:00:00"/>
    <s v="No"/>
    <m/>
    <d v="2025-11-21T00:00:00"/>
    <x v="8"/>
    <n v="1"/>
    <n v="3"/>
    <n v="3"/>
    <x v="0"/>
  </r>
  <r>
    <s v="L1782"/>
    <x v="2"/>
    <x v="1"/>
    <x v="21"/>
    <m/>
    <m/>
    <m/>
    <s v="Yes"/>
    <s v="Other"/>
    <m/>
    <x v="2"/>
    <m/>
    <n v="0"/>
    <n v="0"/>
    <x v="0"/>
  </r>
  <r>
    <s v="L1783"/>
    <x v="3"/>
    <x v="0"/>
    <x v="1"/>
    <d v="2025-10-16T00:00:00"/>
    <d v="2025-10-21T00:00:00"/>
    <d v="2025-10-27T00:00:00"/>
    <s v="No"/>
    <m/>
    <d v="2025-11-16T00:00:00"/>
    <x v="3"/>
    <n v="5"/>
    <n v="5"/>
    <n v="6"/>
    <x v="2"/>
  </r>
  <r>
    <s v="L1784"/>
    <x v="1"/>
    <x v="1"/>
    <x v="20"/>
    <m/>
    <m/>
    <m/>
    <s v="Yes"/>
    <s v="Financing Issue"/>
    <m/>
    <x v="2"/>
    <m/>
    <n v="0"/>
    <n v="0"/>
    <x v="0"/>
  </r>
  <r>
    <s v="L1785"/>
    <x v="2"/>
    <x v="2"/>
    <x v="18"/>
    <d v="2025-10-22T00:00:00"/>
    <d v="2025-10-23T00:00:00"/>
    <d v="2025-10-25T00:00:00"/>
    <s v="No"/>
    <m/>
    <d v="2025-11-19T00:00:00"/>
    <x v="11"/>
    <n v="2"/>
    <n v="1"/>
    <n v="2"/>
    <x v="1"/>
  </r>
  <r>
    <s v="L1786"/>
    <x v="1"/>
    <x v="1"/>
    <x v="24"/>
    <m/>
    <m/>
    <m/>
    <s v="Yes"/>
    <s v="Price"/>
    <m/>
    <x v="2"/>
    <m/>
    <n v="0"/>
    <n v="0"/>
    <x v="0"/>
  </r>
  <r>
    <s v="L1787"/>
    <x v="2"/>
    <x v="0"/>
    <x v="0"/>
    <d v="2025-10-24T00:00:00"/>
    <d v="2025-10-29T00:00:00"/>
    <d v="2025-11-01T00:00:00"/>
    <s v="No"/>
    <m/>
    <d v="2025-11-22T00:00:00"/>
    <x v="9"/>
    <n v="3"/>
    <n v="5"/>
    <n v="3"/>
    <x v="0"/>
  </r>
  <r>
    <s v="L1788"/>
    <x v="0"/>
    <x v="2"/>
    <x v="25"/>
    <d v="2025-10-05T00:00:00"/>
    <d v="2025-10-10T00:00:00"/>
    <d v="2025-10-12T00:00:00"/>
    <s v="No"/>
    <m/>
    <d v="2025-10-28T00:00:00"/>
    <x v="9"/>
    <n v="2"/>
    <n v="5"/>
    <n v="2"/>
    <x v="0"/>
  </r>
  <r>
    <s v="L1789"/>
    <x v="2"/>
    <x v="2"/>
    <x v="0"/>
    <d v="2025-10-23T00:00:00"/>
    <d v="2025-10-26T00:00:00"/>
    <d v="2025-10-29T00:00:00"/>
    <s v="No"/>
    <m/>
    <d v="2025-11-13T00:00:00"/>
    <x v="9"/>
    <n v="2"/>
    <n v="3"/>
    <n v="3"/>
    <x v="0"/>
  </r>
  <r>
    <s v="L1790"/>
    <x v="0"/>
    <x v="0"/>
    <x v="5"/>
    <d v="2025-10-30T00:00:00"/>
    <d v="2025-11-03T00:00:00"/>
    <d v="2025-11-08T00:00:00"/>
    <s v="No"/>
    <m/>
    <d v="2025-11-30T00:00:00"/>
    <x v="7"/>
    <n v="3"/>
    <n v="4"/>
    <n v="5"/>
    <x v="0"/>
  </r>
  <r>
    <s v="L1791"/>
    <x v="2"/>
    <x v="0"/>
    <x v="11"/>
    <d v="2025-10-17T00:00:00"/>
    <d v="2025-10-18T00:00:00"/>
    <d v="2025-10-23T00:00:00"/>
    <s v="No"/>
    <m/>
    <d v="2025-11-02T00:00:00"/>
    <x v="1"/>
    <n v="2"/>
    <n v="1"/>
    <n v="5"/>
    <x v="1"/>
  </r>
  <r>
    <s v="L1792"/>
    <x v="3"/>
    <x v="1"/>
    <x v="20"/>
    <m/>
    <m/>
    <m/>
    <s v="Yes"/>
    <s v="Price"/>
    <m/>
    <x v="2"/>
    <m/>
    <n v="0"/>
    <n v="0"/>
    <x v="0"/>
  </r>
  <r>
    <s v="L1793"/>
    <x v="0"/>
    <x v="2"/>
    <x v="12"/>
    <d v="2025-10-26T00:00:00"/>
    <d v="2025-10-29T00:00:00"/>
    <d v="2025-11-02T00:00:00"/>
    <s v="No"/>
    <m/>
    <d v="2025-11-19T00:00:00"/>
    <x v="10"/>
    <n v="3"/>
    <n v="3"/>
    <n v="4"/>
    <x v="0"/>
  </r>
  <r>
    <s v="L1794"/>
    <x v="2"/>
    <x v="2"/>
    <x v="29"/>
    <d v="2025-10-15T00:00:00"/>
    <d v="2025-10-19T00:00:00"/>
    <d v="2025-10-24T00:00:00"/>
    <s v="No"/>
    <m/>
    <d v="2025-11-10T00:00:00"/>
    <x v="4"/>
    <n v="5"/>
    <n v="4"/>
    <n v="5"/>
    <x v="2"/>
  </r>
  <r>
    <s v="L1795"/>
    <x v="3"/>
    <x v="0"/>
    <x v="0"/>
    <d v="2025-10-24T00:00:00"/>
    <d v="2025-10-28T00:00:00"/>
    <d v="2025-10-30T00:00:00"/>
    <s v="No"/>
    <m/>
    <d v="2025-11-13T00:00:00"/>
    <x v="8"/>
    <n v="3"/>
    <n v="4"/>
    <n v="2"/>
    <x v="0"/>
  </r>
  <r>
    <s v="L1796"/>
    <x v="0"/>
    <x v="0"/>
    <x v="4"/>
    <d v="2025-10-15T00:00:00"/>
    <d v="2025-10-16T00:00:00"/>
    <d v="2025-10-22T00:00:00"/>
    <s v="No"/>
    <m/>
    <d v="2025-11-07T00:00:00"/>
    <x v="1"/>
    <n v="1"/>
    <n v="1"/>
    <n v="6"/>
    <x v="1"/>
  </r>
  <r>
    <s v="L1797"/>
    <x v="3"/>
    <x v="0"/>
    <x v="7"/>
    <d v="2025-10-07T00:00:00"/>
    <d v="2025-10-12T00:00:00"/>
    <d v="2025-10-16T00:00:00"/>
    <s v="No"/>
    <m/>
    <d v="2025-10-26T00:00:00"/>
    <x v="11"/>
    <n v="3"/>
    <n v="5"/>
    <n v="4"/>
    <x v="1"/>
  </r>
  <r>
    <s v="L1798"/>
    <x v="1"/>
    <x v="1"/>
    <x v="13"/>
    <m/>
    <m/>
    <m/>
    <s v="Yes"/>
    <s v="Price"/>
    <m/>
    <x v="2"/>
    <m/>
    <n v="0"/>
    <n v="0"/>
    <x v="0"/>
  </r>
  <r>
    <s v="L1799"/>
    <x v="1"/>
    <x v="1"/>
    <x v="30"/>
    <m/>
    <m/>
    <m/>
    <s v="Yes"/>
    <s v="Financing Issue"/>
    <m/>
    <x v="2"/>
    <m/>
    <n v="0"/>
    <n v="0"/>
    <x v="0"/>
  </r>
  <r>
    <s v="L1800"/>
    <x v="0"/>
    <x v="1"/>
    <x v="8"/>
    <m/>
    <m/>
    <m/>
    <s v="Yes"/>
    <s v="Other"/>
    <m/>
    <x v="2"/>
    <m/>
    <n v="0"/>
    <n v="0"/>
    <x v="0"/>
  </r>
  <r>
    <s v="L1801"/>
    <x v="2"/>
    <x v="0"/>
    <x v="30"/>
    <d v="2025-10-04T00:00:00"/>
    <d v="2025-10-06T00:00:00"/>
    <d v="2025-10-09T00:00:00"/>
    <s v="Yes"/>
    <s v="Price"/>
    <m/>
    <x v="2"/>
    <n v="2"/>
    <n v="2"/>
    <n v="3"/>
    <x v="0"/>
  </r>
  <r>
    <s v="L1802"/>
    <x v="0"/>
    <x v="0"/>
    <x v="29"/>
    <d v="2025-10-15T00:00:00"/>
    <d v="2025-10-20T00:00:00"/>
    <d v="2025-10-25T00:00:00"/>
    <s v="No"/>
    <m/>
    <d v="2025-11-22T00:00:00"/>
    <x v="4"/>
    <n v="5"/>
    <n v="5"/>
    <n v="5"/>
    <x v="2"/>
  </r>
  <r>
    <s v="L1803"/>
    <x v="3"/>
    <x v="0"/>
    <x v="6"/>
    <d v="2025-10-19T00:00:00"/>
    <d v="2025-10-24T00:00:00"/>
    <d v="2025-10-28T00:00:00"/>
    <s v="No"/>
    <m/>
    <d v="2025-11-23T00:00:00"/>
    <x v="10"/>
    <n v="3"/>
    <n v="5"/>
    <n v="4"/>
    <x v="0"/>
  </r>
  <r>
    <s v="L1804"/>
    <x v="2"/>
    <x v="0"/>
    <x v="7"/>
    <d v="2025-10-06T00:00:00"/>
    <d v="2025-10-08T00:00:00"/>
    <d v="2025-10-13T00:00:00"/>
    <s v="No"/>
    <m/>
    <d v="2025-10-28T00:00:00"/>
    <x v="3"/>
    <n v="2"/>
    <n v="2"/>
    <n v="5"/>
    <x v="2"/>
  </r>
  <r>
    <s v="L1805"/>
    <x v="1"/>
    <x v="1"/>
    <x v="7"/>
    <m/>
    <m/>
    <m/>
    <s v="Yes"/>
    <s v="Other"/>
    <m/>
    <x v="2"/>
    <m/>
    <n v="0"/>
    <n v="0"/>
    <x v="0"/>
  </r>
  <r>
    <s v="L1806"/>
    <x v="2"/>
    <x v="2"/>
    <x v="24"/>
    <d v="2025-10-11T00:00:00"/>
    <d v="2025-10-15T00:00:00"/>
    <d v="2025-10-19T00:00:00"/>
    <s v="No"/>
    <m/>
    <d v="2025-11-01T00:00:00"/>
    <x v="9"/>
    <n v="3"/>
    <n v="4"/>
    <n v="4"/>
    <x v="0"/>
  </r>
  <r>
    <s v="L1807"/>
    <x v="1"/>
    <x v="0"/>
    <x v="10"/>
    <d v="2025-11-03T00:00:00"/>
    <d v="2025-11-05T00:00:00"/>
    <d v="2025-11-07T00:00:00"/>
    <s v="No"/>
    <m/>
    <d v="2025-11-28T00:00:00"/>
    <x v="0"/>
    <n v="5"/>
    <n v="2"/>
    <n v="2"/>
    <x v="0"/>
  </r>
  <r>
    <s v="L1808"/>
    <x v="2"/>
    <x v="2"/>
    <x v="21"/>
    <d v="2025-10-23T00:00:00"/>
    <d v="2025-10-25T00:00:00"/>
    <d v="2025-10-27T00:00:00"/>
    <s v="No"/>
    <m/>
    <d v="2025-11-26T00:00:00"/>
    <x v="7"/>
    <n v="5"/>
    <n v="2"/>
    <n v="2"/>
    <x v="0"/>
  </r>
  <r>
    <s v="L1809"/>
    <x v="2"/>
    <x v="0"/>
    <x v="13"/>
    <d v="2025-10-06T00:00:00"/>
    <d v="2025-10-09T00:00:00"/>
    <d v="2025-10-12T00:00:00"/>
    <s v="No"/>
    <m/>
    <d v="2025-10-23T00:00:00"/>
    <x v="10"/>
    <n v="1"/>
    <n v="3"/>
    <n v="3"/>
    <x v="0"/>
  </r>
  <r>
    <s v="L1810"/>
    <x v="2"/>
    <x v="1"/>
    <x v="27"/>
    <m/>
    <m/>
    <m/>
    <s v="Yes"/>
    <s v="Financing Issue"/>
    <m/>
    <x v="2"/>
    <m/>
    <n v="0"/>
    <n v="0"/>
    <x v="0"/>
  </r>
  <r>
    <s v="L1811"/>
    <x v="3"/>
    <x v="0"/>
    <x v="11"/>
    <d v="2025-10-20T00:00:00"/>
    <d v="2025-10-23T00:00:00"/>
    <d v="2025-10-30T00:00:00"/>
    <s v="No"/>
    <m/>
    <d v="2025-11-21T00:00:00"/>
    <x v="11"/>
    <n v="5"/>
    <n v="3"/>
    <n v="7"/>
    <x v="1"/>
  </r>
  <r>
    <s v="L1812"/>
    <x v="3"/>
    <x v="2"/>
    <x v="9"/>
    <d v="2025-10-14T00:00:00"/>
    <d v="2025-10-17T00:00:00"/>
    <d v="2025-10-21T00:00:00"/>
    <s v="No"/>
    <m/>
    <d v="2025-11-20T00:00:00"/>
    <x v="9"/>
    <n v="2"/>
    <n v="3"/>
    <n v="4"/>
    <x v="0"/>
  </r>
  <r>
    <s v="L1813"/>
    <x v="0"/>
    <x v="1"/>
    <x v="26"/>
    <m/>
    <m/>
    <m/>
    <s v="Yes"/>
    <s v="Other"/>
    <m/>
    <x v="2"/>
    <m/>
    <n v="0"/>
    <n v="0"/>
    <x v="0"/>
  </r>
  <r>
    <s v="L1814"/>
    <x v="0"/>
    <x v="0"/>
    <x v="8"/>
    <d v="2025-11-05T00:00:00"/>
    <d v="2025-11-09T00:00:00"/>
    <d v="2025-11-16T00:00:00"/>
    <s v="No"/>
    <m/>
    <d v="2025-12-04T00:00:00"/>
    <x v="0"/>
    <n v="5"/>
    <n v="4"/>
    <n v="7"/>
    <x v="0"/>
  </r>
  <r>
    <s v="L1815"/>
    <x v="1"/>
    <x v="2"/>
    <x v="15"/>
    <d v="2025-10-29T00:00:00"/>
    <d v="2025-10-31T00:00:00"/>
    <d v="2025-11-07T00:00:00"/>
    <s v="No"/>
    <m/>
    <d v="2025-12-04T00:00:00"/>
    <x v="7"/>
    <n v="5"/>
    <n v="2"/>
    <n v="7"/>
    <x v="0"/>
  </r>
  <r>
    <s v="L1816"/>
    <x v="3"/>
    <x v="2"/>
    <x v="12"/>
    <d v="2025-10-25T00:00:00"/>
    <d v="2025-10-26T00:00:00"/>
    <d v="2025-11-01T00:00:00"/>
    <s v="Yes"/>
    <s v="Financing Issue"/>
    <m/>
    <x v="2"/>
    <n v="2"/>
    <n v="1"/>
    <n v="6"/>
    <x v="0"/>
  </r>
  <r>
    <s v="L1817"/>
    <x v="1"/>
    <x v="2"/>
    <x v="8"/>
    <d v="2025-11-02T00:00:00"/>
    <d v="2025-11-04T00:00:00"/>
    <d v="2025-11-06T00:00:00"/>
    <s v="No"/>
    <m/>
    <d v="2025-12-05T00:00:00"/>
    <x v="1"/>
    <n v="2"/>
    <n v="2"/>
    <n v="2"/>
    <x v="1"/>
  </r>
  <r>
    <s v="L1818"/>
    <x v="0"/>
    <x v="2"/>
    <x v="21"/>
    <d v="2025-10-23T00:00:00"/>
    <d v="2025-10-27T00:00:00"/>
    <d v="2025-10-30T00:00:00"/>
    <s v="No"/>
    <m/>
    <d v="2025-11-10T00:00:00"/>
    <x v="1"/>
    <n v="5"/>
    <n v="4"/>
    <n v="3"/>
    <x v="1"/>
  </r>
  <r>
    <s v="L1819"/>
    <x v="1"/>
    <x v="1"/>
    <x v="4"/>
    <m/>
    <m/>
    <m/>
    <s v="Yes"/>
    <s v="Financing Issue"/>
    <m/>
    <x v="2"/>
    <m/>
    <n v="0"/>
    <n v="0"/>
    <x v="0"/>
  </r>
  <r>
    <s v="L1820"/>
    <x v="0"/>
    <x v="0"/>
    <x v="23"/>
    <d v="2025-10-24T00:00:00"/>
    <d v="2025-10-27T00:00:00"/>
    <d v="2025-10-31T00:00:00"/>
    <s v="No"/>
    <m/>
    <d v="2025-11-29T00:00:00"/>
    <x v="0"/>
    <n v="5"/>
    <n v="3"/>
    <n v="4"/>
    <x v="0"/>
  </r>
  <r>
    <s v="L1821"/>
    <x v="3"/>
    <x v="1"/>
    <x v="15"/>
    <m/>
    <m/>
    <m/>
    <s v="Yes"/>
    <s v="Changed Mind"/>
    <m/>
    <x v="2"/>
    <m/>
    <n v="0"/>
    <n v="0"/>
    <x v="0"/>
  </r>
  <r>
    <s v="L1822"/>
    <x v="2"/>
    <x v="0"/>
    <x v="15"/>
    <d v="2025-10-27T00:00:00"/>
    <d v="2025-10-31T00:00:00"/>
    <d v="2025-11-03T00:00:00"/>
    <s v="No"/>
    <m/>
    <d v="2025-11-14T00:00:00"/>
    <x v="9"/>
    <n v="3"/>
    <n v="4"/>
    <n v="3"/>
    <x v="0"/>
  </r>
  <r>
    <s v="L1823"/>
    <x v="3"/>
    <x v="2"/>
    <x v="13"/>
    <d v="2025-10-10T00:00:00"/>
    <d v="2025-10-13T00:00:00"/>
    <d v="2025-10-15T00:00:00"/>
    <s v="No"/>
    <m/>
    <d v="2025-10-28T00:00:00"/>
    <x v="8"/>
    <n v="5"/>
    <n v="3"/>
    <n v="2"/>
    <x v="0"/>
  </r>
  <r>
    <s v="L1824"/>
    <x v="1"/>
    <x v="0"/>
    <x v="10"/>
    <d v="2025-10-30T00:00:00"/>
    <d v="2025-11-03T00:00:00"/>
    <d v="2025-11-10T00:00:00"/>
    <s v="Yes"/>
    <s v="Financing Issue"/>
    <m/>
    <x v="2"/>
    <n v="1"/>
    <n v="4"/>
    <n v="7"/>
    <x v="0"/>
  </r>
  <r>
    <s v="L1825"/>
    <x v="1"/>
    <x v="2"/>
    <x v="4"/>
    <d v="2025-10-15T00:00:00"/>
    <d v="2025-10-16T00:00:00"/>
    <d v="2025-10-19T00:00:00"/>
    <s v="No"/>
    <m/>
    <d v="2025-11-18T00:00:00"/>
    <x v="9"/>
    <n v="1"/>
    <n v="1"/>
    <n v="3"/>
    <x v="0"/>
  </r>
  <r>
    <s v="L1826"/>
    <x v="3"/>
    <x v="0"/>
    <x v="0"/>
    <d v="2025-10-22T00:00:00"/>
    <d v="2025-10-25T00:00:00"/>
    <d v="2025-10-29T00:00:00"/>
    <s v="No"/>
    <m/>
    <d v="2025-11-08T00:00:00"/>
    <x v="5"/>
    <n v="1"/>
    <n v="3"/>
    <n v="4"/>
    <x v="0"/>
  </r>
  <r>
    <s v="L1827"/>
    <x v="3"/>
    <x v="1"/>
    <x v="7"/>
    <m/>
    <m/>
    <m/>
    <s v="Yes"/>
    <s v="Financing Issue"/>
    <m/>
    <x v="2"/>
    <m/>
    <n v="0"/>
    <n v="0"/>
    <x v="0"/>
  </r>
  <r>
    <s v="L1828"/>
    <x v="0"/>
    <x v="0"/>
    <x v="5"/>
    <d v="2025-10-28T00:00:00"/>
    <d v="2025-10-31T00:00:00"/>
    <d v="2025-11-05T00:00:00"/>
    <s v="No"/>
    <m/>
    <d v="2025-11-16T00:00:00"/>
    <x v="0"/>
    <n v="1"/>
    <n v="3"/>
    <n v="5"/>
    <x v="0"/>
  </r>
  <r>
    <s v="L1829"/>
    <x v="1"/>
    <x v="0"/>
    <x v="6"/>
    <d v="2025-10-21T00:00:00"/>
    <d v="2025-10-23T00:00:00"/>
    <d v="2025-10-29T00:00:00"/>
    <s v="Yes"/>
    <s v="Model Unavailable"/>
    <m/>
    <x v="2"/>
    <n v="5"/>
    <n v="2"/>
    <n v="6"/>
    <x v="0"/>
  </r>
  <r>
    <s v="L1830"/>
    <x v="1"/>
    <x v="2"/>
    <x v="18"/>
    <d v="2025-10-23T00:00:00"/>
    <d v="2025-10-27T00:00:00"/>
    <d v="2025-10-29T00:00:00"/>
    <s v="Yes"/>
    <s v="Price"/>
    <m/>
    <x v="2"/>
    <n v="3"/>
    <n v="4"/>
    <n v="2"/>
    <x v="0"/>
  </r>
  <r>
    <s v="L1831"/>
    <x v="3"/>
    <x v="2"/>
    <x v="4"/>
    <d v="2025-10-16T00:00:00"/>
    <d v="2025-10-21T00:00:00"/>
    <d v="2025-10-28T00:00:00"/>
    <s v="No"/>
    <m/>
    <d v="2025-11-10T00:00:00"/>
    <x v="3"/>
    <n v="2"/>
    <n v="5"/>
    <n v="7"/>
    <x v="2"/>
  </r>
  <r>
    <s v="L1832"/>
    <x v="2"/>
    <x v="2"/>
    <x v="8"/>
    <d v="2025-11-05T00:00:00"/>
    <d v="2025-11-10T00:00:00"/>
    <d v="2025-11-14T00:00:00"/>
    <s v="No"/>
    <m/>
    <d v="2025-12-07T00:00:00"/>
    <x v="3"/>
    <n v="5"/>
    <n v="5"/>
    <n v="4"/>
    <x v="2"/>
  </r>
  <r>
    <s v="L1833"/>
    <x v="1"/>
    <x v="0"/>
    <x v="8"/>
    <d v="2025-11-04T00:00:00"/>
    <d v="2025-11-06T00:00:00"/>
    <d v="2025-11-10T00:00:00"/>
    <s v="No"/>
    <m/>
    <d v="2025-12-04T00:00:00"/>
    <x v="5"/>
    <n v="4"/>
    <n v="2"/>
    <n v="4"/>
    <x v="0"/>
  </r>
  <r>
    <s v="L1834"/>
    <x v="2"/>
    <x v="2"/>
    <x v="17"/>
    <d v="2025-10-14T00:00:00"/>
    <d v="2025-10-18T00:00:00"/>
    <d v="2025-10-21T00:00:00"/>
    <s v="No"/>
    <m/>
    <d v="2025-11-12T00:00:00"/>
    <x v="1"/>
    <n v="5"/>
    <n v="4"/>
    <n v="3"/>
    <x v="1"/>
  </r>
  <r>
    <s v="L1835"/>
    <x v="3"/>
    <x v="0"/>
    <x v="30"/>
    <d v="2025-10-03T00:00:00"/>
    <d v="2025-10-04T00:00:00"/>
    <d v="2025-10-06T00:00:00"/>
    <s v="Yes"/>
    <s v="Changed Mind"/>
    <m/>
    <x v="2"/>
    <n v="1"/>
    <n v="1"/>
    <n v="2"/>
    <x v="0"/>
  </r>
  <r>
    <s v="L1836"/>
    <x v="3"/>
    <x v="0"/>
    <x v="12"/>
    <d v="2025-10-27T00:00:00"/>
    <d v="2025-10-29T00:00:00"/>
    <d v="2025-11-03T00:00:00"/>
    <s v="No"/>
    <m/>
    <d v="2025-11-16T00:00:00"/>
    <x v="0"/>
    <n v="4"/>
    <n v="2"/>
    <n v="5"/>
    <x v="0"/>
  </r>
  <r>
    <s v="L1837"/>
    <x v="0"/>
    <x v="0"/>
    <x v="9"/>
    <d v="2025-10-17T00:00:00"/>
    <d v="2025-10-20T00:00:00"/>
    <d v="2025-10-25T00:00:00"/>
    <s v="No"/>
    <m/>
    <d v="2025-11-21T00:00:00"/>
    <x v="5"/>
    <n v="5"/>
    <n v="3"/>
    <n v="5"/>
    <x v="0"/>
  </r>
  <r>
    <s v="L1838"/>
    <x v="1"/>
    <x v="2"/>
    <x v="28"/>
    <d v="2025-10-10T00:00:00"/>
    <d v="2025-10-11T00:00:00"/>
    <d v="2025-10-17T00:00:00"/>
    <s v="No"/>
    <m/>
    <d v="2025-11-04T00:00:00"/>
    <x v="5"/>
    <n v="3"/>
    <n v="1"/>
    <n v="6"/>
    <x v="0"/>
  </r>
  <r>
    <s v="L1839"/>
    <x v="2"/>
    <x v="2"/>
    <x v="11"/>
    <d v="2025-10-18T00:00:00"/>
    <d v="2025-10-22T00:00:00"/>
    <d v="2025-10-29T00:00:00"/>
    <s v="No"/>
    <m/>
    <d v="2025-11-23T00:00:00"/>
    <x v="3"/>
    <n v="3"/>
    <n v="4"/>
    <n v="7"/>
    <x v="2"/>
  </r>
  <r>
    <s v="L1840"/>
    <x v="0"/>
    <x v="1"/>
    <x v="11"/>
    <m/>
    <m/>
    <m/>
    <s v="Yes"/>
    <s v="Changed Mind"/>
    <m/>
    <x v="2"/>
    <m/>
    <n v="0"/>
    <n v="0"/>
    <x v="0"/>
  </r>
  <r>
    <s v="L1841"/>
    <x v="1"/>
    <x v="0"/>
    <x v="8"/>
    <d v="2025-11-04T00:00:00"/>
    <d v="2025-11-07T00:00:00"/>
    <d v="2025-11-13T00:00:00"/>
    <s v="No"/>
    <m/>
    <d v="2025-11-27T00:00:00"/>
    <x v="3"/>
    <n v="4"/>
    <n v="3"/>
    <n v="6"/>
    <x v="2"/>
  </r>
  <r>
    <s v="L1842"/>
    <x v="0"/>
    <x v="0"/>
    <x v="24"/>
    <d v="2025-10-10T00:00:00"/>
    <d v="2025-10-15T00:00:00"/>
    <d v="2025-10-18T00:00:00"/>
    <s v="No"/>
    <m/>
    <d v="2025-11-03T00:00:00"/>
    <x v="6"/>
    <n v="2"/>
    <n v="5"/>
    <n v="3"/>
    <x v="0"/>
  </r>
  <r>
    <s v="L1843"/>
    <x v="3"/>
    <x v="2"/>
    <x v="3"/>
    <d v="2025-11-01T00:00:00"/>
    <d v="2025-11-05T00:00:00"/>
    <d v="2025-11-07T00:00:00"/>
    <s v="Yes"/>
    <s v="Changed Mind"/>
    <m/>
    <x v="2"/>
    <n v="4"/>
    <n v="4"/>
    <n v="2"/>
    <x v="0"/>
  </r>
  <r>
    <s v="L1844"/>
    <x v="1"/>
    <x v="1"/>
    <x v="9"/>
    <m/>
    <m/>
    <m/>
    <s v="Yes"/>
    <s v="Model Unavailable"/>
    <m/>
    <x v="2"/>
    <m/>
    <n v="0"/>
    <n v="0"/>
    <x v="0"/>
  </r>
  <r>
    <s v="L1845"/>
    <x v="0"/>
    <x v="0"/>
    <x v="7"/>
    <d v="2025-10-07T00:00:00"/>
    <d v="2025-10-10T00:00:00"/>
    <d v="2025-10-15T00:00:00"/>
    <s v="No"/>
    <m/>
    <d v="2025-11-14T00:00:00"/>
    <x v="11"/>
    <n v="3"/>
    <n v="3"/>
    <n v="5"/>
    <x v="1"/>
  </r>
  <r>
    <s v="L1846"/>
    <x v="0"/>
    <x v="0"/>
    <x v="26"/>
    <d v="2025-10-26T00:00:00"/>
    <d v="2025-10-30T00:00:00"/>
    <d v="2025-11-01T00:00:00"/>
    <s v="No"/>
    <m/>
    <d v="2025-11-11T00:00:00"/>
    <x v="9"/>
    <n v="4"/>
    <n v="4"/>
    <n v="2"/>
    <x v="0"/>
  </r>
  <r>
    <s v="L1847"/>
    <x v="2"/>
    <x v="1"/>
    <x v="9"/>
    <m/>
    <m/>
    <m/>
    <s v="Yes"/>
    <s v="Financing Issue"/>
    <m/>
    <x v="2"/>
    <m/>
    <n v="0"/>
    <n v="0"/>
    <x v="0"/>
  </r>
  <r>
    <s v="L1848"/>
    <x v="0"/>
    <x v="2"/>
    <x v="21"/>
    <d v="2025-10-19T00:00:00"/>
    <d v="2025-10-22T00:00:00"/>
    <d v="2025-10-25T00:00:00"/>
    <s v="No"/>
    <m/>
    <d v="2025-11-13T00:00:00"/>
    <x v="7"/>
    <n v="1"/>
    <n v="3"/>
    <n v="3"/>
    <x v="0"/>
  </r>
  <r>
    <s v="L1849"/>
    <x v="1"/>
    <x v="0"/>
    <x v="10"/>
    <d v="2025-10-30T00:00:00"/>
    <d v="2025-11-03T00:00:00"/>
    <d v="2025-11-05T00:00:00"/>
    <s v="No"/>
    <m/>
    <d v="2025-11-28T00:00:00"/>
    <x v="5"/>
    <n v="1"/>
    <n v="4"/>
    <n v="2"/>
    <x v="0"/>
  </r>
  <r>
    <s v="L1850"/>
    <x v="1"/>
    <x v="0"/>
    <x v="0"/>
    <d v="2025-10-23T00:00:00"/>
    <d v="2025-10-28T00:00:00"/>
    <d v="2025-10-30T00:00:00"/>
    <s v="No"/>
    <m/>
    <d v="2025-11-12T00:00:00"/>
    <x v="8"/>
    <n v="2"/>
    <n v="5"/>
    <n v="2"/>
    <x v="0"/>
  </r>
  <r>
    <s v="L1851"/>
    <x v="2"/>
    <x v="2"/>
    <x v="9"/>
    <d v="2025-10-16T00:00:00"/>
    <d v="2025-10-18T00:00:00"/>
    <d v="2025-10-20T00:00:00"/>
    <s v="No"/>
    <m/>
    <d v="2025-11-15T00:00:00"/>
    <x v="3"/>
    <n v="4"/>
    <n v="2"/>
    <n v="2"/>
    <x v="2"/>
  </r>
  <r>
    <s v="L1852"/>
    <x v="1"/>
    <x v="1"/>
    <x v="30"/>
    <m/>
    <m/>
    <m/>
    <s v="Yes"/>
    <s v="Price"/>
    <m/>
    <x v="2"/>
    <m/>
    <n v="0"/>
    <n v="0"/>
    <x v="0"/>
  </r>
  <r>
    <s v="L1853"/>
    <x v="3"/>
    <x v="0"/>
    <x v="27"/>
    <d v="2025-10-17T00:00:00"/>
    <d v="2025-10-20T00:00:00"/>
    <d v="2025-10-23T00:00:00"/>
    <s v="Yes"/>
    <s v="Other"/>
    <m/>
    <x v="2"/>
    <n v="4"/>
    <n v="3"/>
    <n v="3"/>
    <x v="0"/>
  </r>
  <r>
    <s v="L1854"/>
    <x v="1"/>
    <x v="0"/>
    <x v="17"/>
    <d v="2025-10-13T00:00:00"/>
    <d v="2025-10-16T00:00:00"/>
    <d v="2025-10-19T00:00:00"/>
    <s v="No"/>
    <m/>
    <d v="2025-11-06T00:00:00"/>
    <x v="0"/>
    <n v="4"/>
    <n v="3"/>
    <n v="3"/>
    <x v="0"/>
  </r>
  <r>
    <s v="L1855"/>
    <x v="1"/>
    <x v="2"/>
    <x v="28"/>
    <d v="2025-10-11T00:00:00"/>
    <d v="2025-10-16T00:00:00"/>
    <d v="2025-10-19T00:00:00"/>
    <s v="No"/>
    <m/>
    <d v="2025-11-17T00:00:00"/>
    <x v="11"/>
    <n v="4"/>
    <n v="5"/>
    <n v="3"/>
    <x v="1"/>
  </r>
  <r>
    <s v="L1856"/>
    <x v="0"/>
    <x v="2"/>
    <x v="8"/>
    <d v="2025-11-02T00:00:00"/>
    <d v="2025-11-04T00:00:00"/>
    <d v="2025-11-09T00:00:00"/>
    <s v="No"/>
    <m/>
    <d v="2025-12-08T00:00:00"/>
    <x v="10"/>
    <n v="2"/>
    <n v="2"/>
    <n v="5"/>
    <x v="0"/>
  </r>
  <r>
    <s v="L1857"/>
    <x v="0"/>
    <x v="0"/>
    <x v="7"/>
    <d v="2025-10-07T00:00:00"/>
    <d v="2025-10-11T00:00:00"/>
    <d v="2025-10-15T00:00:00"/>
    <s v="No"/>
    <m/>
    <d v="2025-10-29T00:00:00"/>
    <x v="9"/>
    <n v="3"/>
    <n v="4"/>
    <n v="4"/>
    <x v="0"/>
  </r>
  <r>
    <s v="L1858"/>
    <x v="1"/>
    <x v="0"/>
    <x v="8"/>
    <d v="2025-11-05T00:00:00"/>
    <d v="2025-11-08T00:00:00"/>
    <d v="2025-11-15T00:00:00"/>
    <s v="No"/>
    <m/>
    <d v="2025-12-08T00:00:00"/>
    <x v="11"/>
    <n v="5"/>
    <n v="3"/>
    <n v="7"/>
    <x v="1"/>
  </r>
  <r>
    <s v="L1859"/>
    <x v="2"/>
    <x v="2"/>
    <x v="3"/>
    <d v="2025-10-30T00:00:00"/>
    <d v="2025-11-01T00:00:00"/>
    <d v="2025-11-08T00:00:00"/>
    <s v="No"/>
    <m/>
    <d v="2025-11-21T00:00:00"/>
    <x v="8"/>
    <n v="2"/>
    <n v="2"/>
    <n v="7"/>
    <x v="0"/>
  </r>
  <r>
    <s v="L1860"/>
    <x v="0"/>
    <x v="0"/>
    <x v="5"/>
    <d v="2025-10-30T00:00:00"/>
    <d v="2025-11-03T00:00:00"/>
    <d v="2025-11-10T00:00:00"/>
    <s v="No"/>
    <m/>
    <d v="2025-12-06T00:00:00"/>
    <x v="0"/>
    <n v="3"/>
    <n v="4"/>
    <n v="7"/>
    <x v="0"/>
  </r>
  <r>
    <s v="L1861"/>
    <x v="2"/>
    <x v="0"/>
    <x v="11"/>
    <d v="2025-10-18T00:00:00"/>
    <d v="2025-10-21T00:00:00"/>
    <d v="2025-10-23T00:00:00"/>
    <s v="No"/>
    <m/>
    <d v="2025-11-21T00:00:00"/>
    <x v="7"/>
    <n v="3"/>
    <n v="3"/>
    <n v="2"/>
    <x v="0"/>
  </r>
  <r>
    <s v="L1862"/>
    <x v="1"/>
    <x v="2"/>
    <x v="25"/>
    <d v="2025-10-06T00:00:00"/>
    <d v="2025-10-09T00:00:00"/>
    <d v="2025-10-15T00:00:00"/>
    <s v="Yes"/>
    <s v="Financing Issue"/>
    <m/>
    <x v="2"/>
    <n v="3"/>
    <n v="3"/>
    <n v="6"/>
    <x v="0"/>
  </r>
  <r>
    <s v="L1863"/>
    <x v="1"/>
    <x v="0"/>
    <x v="26"/>
    <d v="2025-10-26T00:00:00"/>
    <d v="2025-10-30T00:00:00"/>
    <d v="2025-11-05T00:00:00"/>
    <s v="No"/>
    <m/>
    <d v="2025-11-18T00:00:00"/>
    <x v="3"/>
    <n v="4"/>
    <n v="4"/>
    <n v="6"/>
    <x v="2"/>
  </r>
  <r>
    <s v="L1864"/>
    <x v="3"/>
    <x v="2"/>
    <x v="28"/>
    <d v="2025-10-09T00:00:00"/>
    <d v="2025-10-14T00:00:00"/>
    <d v="2025-10-18T00:00:00"/>
    <s v="No"/>
    <m/>
    <d v="2025-11-06T00:00:00"/>
    <x v="8"/>
    <n v="2"/>
    <n v="5"/>
    <n v="4"/>
    <x v="0"/>
  </r>
  <r>
    <s v="L1865"/>
    <x v="0"/>
    <x v="1"/>
    <x v="0"/>
    <m/>
    <m/>
    <m/>
    <s v="Yes"/>
    <s v="Model Unavailable"/>
    <m/>
    <x v="2"/>
    <m/>
    <n v="0"/>
    <n v="0"/>
    <x v="0"/>
  </r>
  <r>
    <s v="L1866"/>
    <x v="1"/>
    <x v="0"/>
    <x v="0"/>
    <d v="2025-10-24T00:00:00"/>
    <d v="2025-10-26T00:00:00"/>
    <d v="2025-10-28T00:00:00"/>
    <s v="No"/>
    <m/>
    <d v="2025-11-10T00:00:00"/>
    <x v="3"/>
    <n v="3"/>
    <n v="2"/>
    <n v="2"/>
    <x v="2"/>
  </r>
  <r>
    <s v="L1867"/>
    <x v="3"/>
    <x v="2"/>
    <x v="18"/>
    <d v="2025-10-25T00:00:00"/>
    <d v="2025-10-28T00:00:00"/>
    <d v="2025-10-30T00:00:00"/>
    <s v="No"/>
    <m/>
    <d v="2025-11-12T00:00:00"/>
    <x v="3"/>
    <n v="5"/>
    <n v="3"/>
    <n v="2"/>
    <x v="2"/>
  </r>
  <r>
    <s v="L1868"/>
    <x v="0"/>
    <x v="0"/>
    <x v="2"/>
    <d v="2025-10-06T00:00:00"/>
    <d v="2025-10-10T00:00:00"/>
    <d v="2025-10-12T00:00:00"/>
    <s v="No"/>
    <m/>
    <d v="2025-11-06T00:00:00"/>
    <x v="7"/>
    <n v="5"/>
    <n v="4"/>
    <n v="2"/>
    <x v="0"/>
  </r>
  <r>
    <s v="L1869"/>
    <x v="1"/>
    <x v="0"/>
    <x v="30"/>
    <d v="2025-10-03T00:00:00"/>
    <d v="2025-10-06T00:00:00"/>
    <d v="2025-10-09T00:00:00"/>
    <s v="No"/>
    <m/>
    <d v="2025-10-25T00:00:00"/>
    <x v="10"/>
    <n v="1"/>
    <n v="3"/>
    <n v="3"/>
    <x v="0"/>
  </r>
  <r>
    <s v="L1870"/>
    <x v="1"/>
    <x v="0"/>
    <x v="19"/>
    <d v="2025-10-29T00:00:00"/>
    <d v="2025-11-02T00:00:00"/>
    <d v="2025-11-09T00:00:00"/>
    <s v="No"/>
    <m/>
    <d v="2025-12-08T00:00:00"/>
    <x v="1"/>
    <n v="3"/>
    <n v="4"/>
    <n v="7"/>
    <x v="1"/>
  </r>
  <r>
    <s v="L1871"/>
    <x v="0"/>
    <x v="0"/>
    <x v="1"/>
    <d v="2025-10-13T00:00:00"/>
    <d v="2025-10-16T00:00:00"/>
    <d v="2025-10-21T00:00:00"/>
    <s v="No"/>
    <m/>
    <d v="2025-11-06T00:00:00"/>
    <x v="11"/>
    <n v="2"/>
    <n v="3"/>
    <n v="5"/>
    <x v="1"/>
  </r>
  <r>
    <s v="L1872"/>
    <x v="0"/>
    <x v="0"/>
    <x v="24"/>
    <d v="2025-10-12T00:00:00"/>
    <d v="2025-10-13T00:00:00"/>
    <d v="2025-10-16T00:00:00"/>
    <s v="No"/>
    <m/>
    <d v="2025-11-03T00:00:00"/>
    <x v="7"/>
    <n v="4"/>
    <n v="1"/>
    <n v="3"/>
    <x v="0"/>
  </r>
  <r>
    <s v="L1873"/>
    <x v="0"/>
    <x v="2"/>
    <x v="13"/>
    <d v="2025-10-06T00:00:00"/>
    <d v="2025-10-11T00:00:00"/>
    <d v="2025-10-13T00:00:00"/>
    <s v="No"/>
    <m/>
    <d v="2025-11-08T00:00:00"/>
    <x v="8"/>
    <n v="1"/>
    <n v="5"/>
    <n v="2"/>
    <x v="0"/>
  </r>
  <r>
    <s v="L1874"/>
    <x v="1"/>
    <x v="2"/>
    <x v="19"/>
    <d v="2025-10-29T00:00:00"/>
    <d v="2025-10-31T00:00:00"/>
    <d v="2025-11-04T00:00:00"/>
    <s v="No"/>
    <m/>
    <d v="2025-11-20T00:00:00"/>
    <x v="9"/>
    <n v="3"/>
    <n v="2"/>
    <n v="4"/>
    <x v="0"/>
  </r>
  <r>
    <s v="L1875"/>
    <x v="1"/>
    <x v="2"/>
    <x v="23"/>
    <d v="2025-10-23T00:00:00"/>
    <d v="2025-10-28T00:00:00"/>
    <d v="2025-10-30T00:00:00"/>
    <s v="No"/>
    <m/>
    <d v="2025-11-20T00:00:00"/>
    <x v="5"/>
    <n v="4"/>
    <n v="5"/>
    <n v="2"/>
    <x v="0"/>
  </r>
  <r>
    <s v="L1876"/>
    <x v="3"/>
    <x v="0"/>
    <x v="28"/>
    <d v="2025-10-09T00:00:00"/>
    <d v="2025-10-14T00:00:00"/>
    <d v="2025-10-16T00:00:00"/>
    <s v="No"/>
    <m/>
    <d v="2025-11-08T00:00:00"/>
    <x v="0"/>
    <n v="2"/>
    <n v="5"/>
    <n v="2"/>
    <x v="0"/>
  </r>
  <r>
    <s v="L1877"/>
    <x v="2"/>
    <x v="1"/>
    <x v="25"/>
    <m/>
    <m/>
    <m/>
    <s v="Yes"/>
    <s v="Financing Issue"/>
    <m/>
    <x v="2"/>
    <m/>
    <n v="0"/>
    <n v="0"/>
    <x v="0"/>
  </r>
  <r>
    <s v="L1878"/>
    <x v="0"/>
    <x v="0"/>
    <x v="5"/>
    <d v="2025-10-29T00:00:00"/>
    <d v="2025-10-31T00:00:00"/>
    <d v="2025-11-05T00:00:00"/>
    <s v="No"/>
    <m/>
    <d v="2025-11-24T00:00:00"/>
    <x v="8"/>
    <n v="2"/>
    <n v="2"/>
    <n v="5"/>
    <x v="0"/>
  </r>
  <r>
    <s v="L1879"/>
    <x v="1"/>
    <x v="2"/>
    <x v="22"/>
    <d v="2025-10-26T00:00:00"/>
    <d v="2025-10-31T00:00:00"/>
    <d v="2025-11-02T00:00:00"/>
    <s v="No"/>
    <m/>
    <d v="2025-11-17T00:00:00"/>
    <x v="8"/>
    <n v="1"/>
    <n v="5"/>
    <n v="2"/>
    <x v="0"/>
  </r>
  <r>
    <s v="L1880"/>
    <x v="1"/>
    <x v="0"/>
    <x v="21"/>
    <d v="2025-10-19T00:00:00"/>
    <d v="2025-10-20T00:00:00"/>
    <d v="2025-10-23T00:00:00"/>
    <s v="No"/>
    <m/>
    <d v="2025-11-03T00:00:00"/>
    <x v="0"/>
    <n v="1"/>
    <n v="1"/>
    <n v="3"/>
    <x v="0"/>
  </r>
  <r>
    <s v="L1881"/>
    <x v="0"/>
    <x v="1"/>
    <x v="28"/>
    <m/>
    <m/>
    <m/>
    <s v="Yes"/>
    <s v="Financing Issue"/>
    <m/>
    <x v="2"/>
    <m/>
    <n v="0"/>
    <n v="0"/>
    <x v="0"/>
  </r>
  <r>
    <s v="L1882"/>
    <x v="2"/>
    <x v="0"/>
    <x v="23"/>
    <d v="2025-10-22T00:00:00"/>
    <d v="2025-10-26T00:00:00"/>
    <d v="2025-11-01T00:00:00"/>
    <s v="No"/>
    <m/>
    <d v="2025-11-28T00:00:00"/>
    <x v="8"/>
    <n v="3"/>
    <n v="4"/>
    <n v="6"/>
    <x v="0"/>
  </r>
  <r>
    <s v="L1883"/>
    <x v="0"/>
    <x v="1"/>
    <x v="28"/>
    <m/>
    <m/>
    <m/>
    <s v="Yes"/>
    <s v="Model Unavailable"/>
    <m/>
    <x v="2"/>
    <m/>
    <n v="0"/>
    <n v="0"/>
    <x v="0"/>
  </r>
  <r>
    <s v="L1884"/>
    <x v="2"/>
    <x v="2"/>
    <x v="5"/>
    <d v="2025-10-31T00:00:00"/>
    <d v="2025-11-02T00:00:00"/>
    <d v="2025-11-07T00:00:00"/>
    <s v="No"/>
    <m/>
    <d v="2025-12-02T00:00:00"/>
    <x v="11"/>
    <n v="4"/>
    <n v="2"/>
    <n v="5"/>
    <x v="1"/>
  </r>
  <r>
    <s v="L1885"/>
    <x v="1"/>
    <x v="2"/>
    <x v="3"/>
    <d v="2025-11-02T00:00:00"/>
    <d v="2025-11-06T00:00:00"/>
    <d v="2025-11-13T00:00:00"/>
    <s v="No"/>
    <m/>
    <d v="2025-11-29T00:00:00"/>
    <x v="9"/>
    <n v="5"/>
    <n v="4"/>
    <n v="7"/>
    <x v="0"/>
  </r>
  <r>
    <s v="L1886"/>
    <x v="2"/>
    <x v="1"/>
    <x v="24"/>
    <m/>
    <m/>
    <m/>
    <s v="Yes"/>
    <s v="Changed Mind"/>
    <m/>
    <x v="2"/>
    <m/>
    <n v="0"/>
    <n v="0"/>
    <x v="0"/>
  </r>
  <r>
    <s v="L1887"/>
    <x v="3"/>
    <x v="0"/>
    <x v="1"/>
    <d v="2025-10-15T00:00:00"/>
    <d v="2025-10-18T00:00:00"/>
    <d v="2025-10-23T00:00:00"/>
    <s v="No"/>
    <m/>
    <d v="2025-11-17T00:00:00"/>
    <x v="11"/>
    <n v="4"/>
    <n v="3"/>
    <n v="5"/>
    <x v="1"/>
  </r>
  <r>
    <s v="L1888"/>
    <x v="1"/>
    <x v="0"/>
    <x v="22"/>
    <d v="2025-10-27T00:00:00"/>
    <d v="2025-10-28T00:00:00"/>
    <d v="2025-11-02T00:00:00"/>
    <s v="No"/>
    <m/>
    <d v="2025-11-22T00:00:00"/>
    <x v="3"/>
    <n v="2"/>
    <n v="1"/>
    <n v="5"/>
    <x v="2"/>
  </r>
  <r>
    <s v="L1889"/>
    <x v="3"/>
    <x v="0"/>
    <x v="13"/>
    <d v="2025-10-07T00:00:00"/>
    <d v="2025-10-11T00:00:00"/>
    <d v="2025-10-13T00:00:00"/>
    <s v="No"/>
    <m/>
    <d v="2025-10-30T00:00:00"/>
    <x v="8"/>
    <n v="2"/>
    <n v="4"/>
    <n v="2"/>
    <x v="0"/>
  </r>
  <r>
    <s v="L1890"/>
    <x v="0"/>
    <x v="1"/>
    <x v="19"/>
    <m/>
    <m/>
    <m/>
    <s v="Yes"/>
    <s v="Changed Mind"/>
    <m/>
    <x v="2"/>
    <m/>
    <n v="0"/>
    <n v="0"/>
    <x v="0"/>
  </r>
  <r>
    <s v="L1891"/>
    <x v="0"/>
    <x v="0"/>
    <x v="10"/>
    <d v="2025-11-01T00:00:00"/>
    <d v="2025-11-05T00:00:00"/>
    <d v="2025-11-10T00:00:00"/>
    <s v="No"/>
    <m/>
    <d v="2025-11-20T00:00:00"/>
    <x v="11"/>
    <n v="3"/>
    <n v="4"/>
    <n v="5"/>
    <x v="1"/>
  </r>
  <r>
    <s v="L1892"/>
    <x v="0"/>
    <x v="0"/>
    <x v="18"/>
    <d v="2025-10-25T00:00:00"/>
    <d v="2025-10-27T00:00:00"/>
    <d v="2025-11-03T00:00:00"/>
    <s v="No"/>
    <m/>
    <d v="2025-11-13T00:00:00"/>
    <x v="11"/>
    <n v="5"/>
    <n v="2"/>
    <n v="7"/>
    <x v="1"/>
  </r>
  <r>
    <s v="L1893"/>
    <x v="2"/>
    <x v="0"/>
    <x v="2"/>
    <d v="2025-10-04T00:00:00"/>
    <d v="2025-10-07T00:00:00"/>
    <d v="2025-10-12T00:00:00"/>
    <s v="No"/>
    <m/>
    <d v="2025-10-24T00:00:00"/>
    <x v="11"/>
    <n v="3"/>
    <n v="3"/>
    <n v="5"/>
    <x v="1"/>
  </r>
  <r>
    <s v="L1894"/>
    <x v="1"/>
    <x v="0"/>
    <x v="17"/>
    <d v="2025-10-11T00:00:00"/>
    <d v="2025-10-13T00:00:00"/>
    <d v="2025-10-16T00:00:00"/>
    <s v="No"/>
    <m/>
    <d v="2025-10-29T00:00:00"/>
    <x v="10"/>
    <n v="2"/>
    <n v="2"/>
    <n v="3"/>
    <x v="0"/>
  </r>
  <r>
    <s v="L1895"/>
    <x v="0"/>
    <x v="0"/>
    <x v="3"/>
    <d v="2025-10-30T00:00:00"/>
    <d v="2025-11-02T00:00:00"/>
    <d v="2025-11-06T00:00:00"/>
    <s v="Yes"/>
    <s v="Price"/>
    <m/>
    <x v="2"/>
    <n v="2"/>
    <n v="3"/>
    <n v="4"/>
    <x v="0"/>
  </r>
  <r>
    <s v="L1896"/>
    <x v="0"/>
    <x v="1"/>
    <x v="13"/>
    <m/>
    <m/>
    <m/>
    <s v="Yes"/>
    <s v="Price"/>
    <m/>
    <x v="2"/>
    <m/>
    <n v="0"/>
    <n v="0"/>
    <x v="0"/>
  </r>
  <r>
    <s v="L1897"/>
    <x v="1"/>
    <x v="1"/>
    <x v="13"/>
    <m/>
    <m/>
    <m/>
    <s v="Yes"/>
    <s v="Changed Mind"/>
    <m/>
    <x v="2"/>
    <m/>
    <n v="0"/>
    <n v="0"/>
    <x v="0"/>
  </r>
  <r>
    <s v="L1898"/>
    <x v="0"/>
    <x v="1"/>
    <x v="21"/>
    <m/>
    <m/>
    <m/>
    <s v="Yes"/>
    <s v="Other"/>
    <m/>
    <x v="2"/>
    <m/>
    <n v="0"/>
    <n v="0"/>
    <x v="0"/>
  </r>
  <r>
    <s v="L1899"/>
    <x v="3"/>
    <x v="2"/>
    <x v="17"/>
    <d v="2025-10-13T00:00:00"/>
    <d v="2025-10-15T00:00:00"/>
    <d v="2025-10-18T00:00:00"/>
    <s v="No"/>
    <m/>
    <d v="2025-11-15T00:00:00"/>
    <x v="3"/>
    <n v="4"/>
    <n v="2"/>
    <n v="3"/>
    <x v="2"/>
  </r>
  <r>
    <s v="L1900"/>
    <x v="1"/>
    <x v="0"/>
    <x v="19"/>
    <d v="2025-10-31T00:00:00"/>
    <d v="2025-11-04T00:00:00"/>
    <d v="2025-11-07T00:00:00"/>
    <s v="No"/>
    <m/>
    <d v="2025-12-02T00:00:00"/>
    <x v="4"/>
    <n v="5"/>
    <n v="4"/>
    <n v="3"/>
    <x v="2"/>
  </r>
  <r>
    <s v="L1901"/>
    <x v="1"/>
    <x v="0"/>
    <x v="14"/>
    <d v="2025-10-10T00:00:00"/>
    <d v="2025-10-14T00:00:00"/>
    <d v="2025-10-18T00:00:00"/>
    <s v="No"/>
    <m/>
    <d v="2025-11-01T00:00:00"/>
    <x v="6"/>
    <n v="4"/>
    <n v="4"/>
    <n v="4"/>
    <x v="0"/>
  </r>
  <r>
    <s v="L1902"/>
    <x v="1"/>
    <x v="0"/>
    <x v="7"/>
    <d v="2025-10-08T00:00:00"/>
    <d v="2025-10-09T00:00:00"/>
    <d v="2025-10-13T00:00:00"/>
    <s v="No"/>
    <m/>
    <d v="2025-10-25T00:00:00"/>
    <x v="7"/>
    <n v="4"/>
    <n v="1"/>
    <n v="4"/>
    <x v="0"/>
  </r>
  <r>
    <s v="L1903"/>
    <x v="3"/>
    <x v="0"/>
    <x v="26"/>
    <d v="2025-10-25T00:00:00"/>
    <d v="2025-10-29T00:00:00"/>
    <d v="2025-11-03T00:00:00"/>
    <s v="No"/>
    <m/>
    <d v="2025-11-29T00:00:00"/>
    <x v="3"/>
    <n v="3"/>
    <n v="4"/>
    <n v="5"/>
    <x v="2"/>
  </r>
  <r>
    <s v="L1904"/>
    <x v="1"/>
    <x v="1"/>
    <x v="3"/>
    <m/>
    <m/>
    <m/>
    <s v="Yes"/>
    <s v="Financing Issue"/>
    <m/>
    <x v="2"/>
    <m/>
    <n v="0"/>
    <n v="0"/>
    <x v="0"/>
  </r>
  <r>
    <s v="L1905"/>
    <x v="3"/>
    <x v="0"/>
    <x v="2"/>
    <d v="2025-10-05T00:00:00"/>
    <d v="2025-10-10T00:00:00"/>
    <d v="2025-10-13T00:00:00"/>
    <s v="No"/>
    <m/>
    <d v="2025-10-25T00:00:00"/>
    <x v="11"/>
    <n v="4"/>
    <n v="5"/>
    <n v="3"/>
    <x v="1"/>
  </r>
  <r>
    <s v="L1906"/>
    <x v="1"/>
    <x v="0"/>
    <x v="13"/>
    <d v="2025-10-06T00:00:00"/>
    <d v="2025-10-10T00:00:00"/>
    <d v="2025-10-12T00:00:00"/>
    <s v="No"/>
    <m/>
    <d v="2025-10-25T00:00:00"/>
    <x v="8"/>
    <n v="1"/>
    <n v="4"/>
    <n v="2"/>
    <x v="0"/>
  </r>
  <r>
    <s v="L1907"/>
    <x v="2"/>
    <x v="2"/>
    <x v="2"/>
    <d v="2025-10-02T00:00:00"/>
    <d v="2025-10-07T00:00:00"/>
    <d v="2025-10-13T00:00:00"/>
    <s v="No"/>
    <m/>
    <d v="2025-10-31T00:00:00"/>
    <x v="0"/>
    <n v="1"/>
    <n v="5"/>
    <n v="6"/>
    <x v="0"/>
  </r>
  <r>
    <s v="L1908"/>
    <x v="0"/>
    <x v="0"/>
    <x v="9"/>
    <d v="2025-10-16T00:00:00"/>
    <d v="2025-10-20T00:00:00"/>
    <d v="2025-10-26T00:00:00"/>
    <s v="No"/>
    <m/>
    <d v="2025-11-25T00:00:00"/>
    <x v="1"/>
    <n v="4"/>
    <n v="4"/>
    <n v="6"/>
    <x v="1"/>
  </r>
  <r>
    <s v="L1909"/>
    <x v="2"/>
    <x v="0"/>
    <x v="19"/>
    <d v="2025-10-31T00:00:00"/>
    <d v="2025-11-05T00:00:00"/>
    <d v="2025-11-11T00:00:00"/>
    <s v="No"/>
    <m/>
    <d v="2025-11-28T00:00:00"/>
    <x v="0"/>
    <n v="5"/>
    <n v="5"/>
    <n v="6"/>
    <x v="0"/>
  </r>
  <r>
    <s v="L1910"/>
    <x v="0"/>
    <x v="0"/>
    <x v="19"/>
    <d v="2025-10-30T00:00:00"/>
    <d v="2025-11-04T00:00:00"/>
    <d v="2025-11-07T00:00:00"/>
    <s v="No"/>
    <m/>
    <d v="2025-12-01T00:00:00"/>
    <x v="8"/>
    <n v="4"/>
    <n v="5"/>
    <n v="3"/>
    <x v="0"/>
  </r>
  <r>
    <s v="L1911"/>
    <x v="3"/>
    <x v="2"/>
    <x v="24"/>
    <d v="2025-10-10T00:00:00"/>
    <d v="2025-10-14T00:00:00"/>
    <d v="2025-10-21T00:00:00"/>
    <s v="No"/>
    <m/>
    <d v="2025-11-09T00:00:00"/>
    <x v="10"/>
    <n v="2"/>
    <n v="4"/>
    <n v="7"/>
    <x v="0"/>
  </r>
  <r>
    <s v="L1912"/>
    <x v="2"/>
    <x v="2"/>
    <x v="23"/>
    <d v="2025-10-21T00:00:00"/>
    <d v="2025-10-26T00:00:00"/>
    <d v="2025-10-30T00:00:00"/>
    <s v="No"/>
    <m/>
    <d v="2025-11-17T00:00:00"/>
    <x v="1"/>
    <n v="2"/>
    <n v="5"/>
    <n v="4"/>
    <x v="1"/>
  </r>
  <r>
    <s v="L1913"/>
    <x v="1"/>
    <x v="0"/>
    <x v="1"/>
    <d v="2025-10-16T00:00:00"/>
    <d v="2025-10-17T00:00:00"/>
    <d v="2025-10-22T00:00:00"/>
    <s v="No"/>
    <m/>
    <d v="2025-11-15T00:00:00"/>
    <x v="3"/>
    <n v="5"/>
    <n v="1"/>
    <n v="5"/>
    <x v="2"/>
  </r>
  <r>
    <s v="L1914"/>
    <x v="0"/>
    <x v="2"/>
    <x v="2"/>
    <d v="2025-10-04T00:00:00"/>
    <d v="2025-10-07T00:00:00"/>
    <d v="2025-10-12T00:00:00"/>
    <s v="No"/>
    <m/>
    <d v="2025-10-23T00:00:00"/>
    <x v="8"/>
    <n v="3"/>
    <n v="3"/>
    <n v="5"/>
    <x v="0"/>
  </r>
  <r>
    <s v="L1915"/>
    <x v="0"/>
    <x v="2"/>
    <x v="14"/>
    <d v="2025-10-07T00:00:00"/>
    <d v="2025-10-12T00:00:00"/>
    <d v="2025-10-18T00:00:00"/>
    <s v="No"/>
    <m/>
    <d v="2025-10-31T00:00:00"/>
    <x v="10"/>
    <n v="1"/>
    <n v="5"/>
    <n v="6"/>
    <x v="0"/>
  </r>
  <r>
    <s v="L1916"/>
    <x v="2"/>
    <x v="2"/>
    <x v="17"/>
    <d v="2025-10-10T00:00:00"/>
    <d v="2025-10-15T00:00:00"/>
    <d v="2025-10-20T00:00:00"/>
    <s v="No"/>
    <m/>
    <d v="2025-11-04T00:00:00"/>
    <x v="5"/>
    <n v="1"/>
    <n v="5"/>
    <n v="5"/>
    <x v="0"/>
  </r>
  <r>
    <s v="L1917"/>
    <x v="3"/>
    <x v="2"/>
    <x v="30"/>
    <d v="2025-10-05T00:00:00"/>
    <d v="2025-10-06T00:00:00"/>
    <d v="2025-10-08T00:00:00"/>
    <s v="No"/>
    <m/>
    <d v="2025-10-19T00:00:00"/>
    <x v="1"/>
    <n v="3"/>
    <n v="1"/>
    <n v="2"/>
    <x v="1"/>
  </r>
  <r>
    <s v="L1918"/>
    <x v="2"/>
    <x v="2"/>
    <x v="13"/>
    <d v="2025-10-09T00:00:00"/>
    <d v="2025-10-10T00:00:00"/>
    <d v="2025-10-12T00:00:00"/>
    <s v="No"/>
    <m/>
    <d v="2025-10-31T00:00:00"/>
    <x v="10"/>
    <n v="4"/>
    <n v="1"/>
    <n v="2"/>
    <x v="0"/>
  </r>
  <r>
    <s v="L1919"/>
    <x v="3"/>
    <x v="0"/>
    <x v="15"/>
    <d v="2025-10-29T00:00:00"/>
    <d v="2025-10-31T00:00:00"/>
    <d v="2025-11-04T00:00:00"/>
    <s v="No"/>
    <m/>
    <d v="2025-11-25T00:00:00"/>
    <x v="5"/>
    <n v="5"/>
    <n v="2"/>
    <n v="4"/>
    <x v="0"/>
  </r>
  <r>
    <s v="L1920"/>
    <x v="3"/>
    <x v="0"/>
    <x v="4"/>
    <d v="2025-10-18T00:00:00"/>
    <d v="2025-10-21T00:00:00"/>
    <d v="2025-10-26T00:00:00"/>
    <s v="No"/>
    <m/>
    <d v="2025-11-15T00:00:00"/>
    <x v="6"/>
    <n v="4"/>
    <n v="3"/>
    <n v="5"/>
    <x v="0"/>
  </r>
  <r>
    <s v="L1921"/>
    <x v="0"/>
    <x v="1"/>
    <x v="16"/>
    <m/>
    <m/>
    <m/>
    <s v="Yes"/>
    <s v="Other"/>
    <m/>
    <x v="2"/>
    <m/>
    <n v="0"/>
    <n v="0"/>
    <x v="0"/>
  </r>
  <r>
    <s v="L1922"/>
    <x v="2"/>
    <x v="0"/>
    <x v="7"/>
    <d v="2025-10-07T00:00:00"/>
    <d v="2025-10-09T00:00:00"/>
    <d v="2025-10-12T00:00:00"/>
    <s v="No"/>
    <m/>
    <d v="2025-11-04T00:00:00"/>
    <x v="5"/>
    <n v="3"/>
    <n v="2"/>
    <n v="3"/>
    <x v="0"/>
  </r>
  <r>
    <s v="L1923"/>
    <x v="2"/>
    <x v="0"/>
    <x v="15"/>
    <d v="2025-10-29T00:00:00"/>
    <d v="2025-11-03T00:00:00"/>
    <d v="2025-11-08T00:00:00"/>
    <s v="No"/>
    <m/>
    <d v="2025-11-21T00:00:00"/>
    <x v="5"/>
    <n v="5"/>
    <n v="5"/>
    <n v="5"/>
    <x v="0"/>
  </r>
  <r>
    <s v="L1924"/>
    <x v="3"/>
    <x v="2"/>
    <x v="25"/>
    <d v="2025-10-04T00:00:00"/>
    <d v="2025-10-05T00:00:00"/>
    <d v="2025-10-08T00:00:00"/>
    <s v="No"/>
    <m/>
    <d v="2025-10-21T00:00:00"/>
    <x v="5"/>
    <n v="1"/>
    <n v="1"/>
    <n v="3"/>
    <x v="0"/>
  </r>
  <r>
    <s v="L1925"/>
    <x v="2"/>
    <x v="2"/>
    <x v="6"/>
    <d v="2025-10-17T00:00:00"/>
    <d v="2025-10-22T00:00:00"/>
    <d v="2025-10-29T00:00:00"/>
    <s v="No"/>
    <m/>
    <d v="2025-11-09T00:00:00"/>
    <x v="0"/>
    <n v="1"/>
    <n v="5"/>
    <n v="7"/>
    <x v="0"/>
  </r>
  <r>
    <s v="L1926"/>
    <x v="1"/>
    <x v="0"/>
    <x v="11"/>
    <d v="2025-10-19T00:00:00"/>
    <d v="2025-10-23T00:00:00"/>
    <d v="2025-10-29T00:00:00"/>
    <s v="No"/>
    <m/>
    <d v="2025-11-08T00:00:00"/>
    <x v="11"/>
    <n v="4"/>
    <n v="4"/>
    <n v="6"/>
    <x v="1"/>
  </r>
  <r>
    <s v="L1927"/>
    <x v="1"/>
    <x v="2"/>
    <x v="22"/>
    <d v="2025-10-27T00:00:00"/>
    <d v="2025-10-30T00:00:00"/>
    <d v="2025-11-02T00:00:00"/>
    <s v="Yes"/>
    <s v="Financing Issue"/>
    <m/>
    <x v="2"/>
    <n v="2"/>
    <n v="3"/>
    <n v="3"/>
    <x v="0"/>
  </r>
  <r>
    <s v="L1928"/>
    <x v="2"/>
    <x v="0"/>
    <x v="9"/>
    <d v="2025-10-15T00:00:00"/>
    <d v="2025-10-19T00:00:00"/>
    <d v="2025-10-26T00:00:00"/>
    <s v="No"/>
    <m/>
    <d v="2025-11-09T00:00:00"/>
    <x v="1"/>
    <n v="3"/>
    <n v="4"/>
    <n v="7"/>
    <x v="1"/>
  </r>
  <r>
    <s v="L1929"/>
    <x v="2"/>
    <x v="0"/>
    <x v="16"/>
    <d v="2025-10-20T00:00:00"/>
    <d v="2025-10-21T00:00:00"/>
    <d v="2025-10-27T00:00:00"/>
    <s v="No"/>
    <m/>
    <d v="2025-11-26T00:00:00"/>
    <x v="10"/>
    <n v="3"/>
    <n v="1"/>
    <n v="6"/>
    <x v="0"/>
  </r>
  <r>
    <s v="L1930"/>
    <x v="3"/>
    <x v="0"/>
    <x v="23"/>
    <d v="2025-10-23T00:00:00"/>
    <d v="2025-10-24T00:00:00"/>
    <d v="2025-10-26T00:00:00"/>
    <s v="No"/>
    <m/>
    <d v="2025-11-10T00:00:00"/>
    <x v="11"/>
    <n v="4"/>
    <n v="1"/>
    <n v="2"/>
    <x v="1"/>
  </r>
  <r>
    <s v="L1931"/>
    <x v="1"/>
    <x v="2"/>
    <x v="7"/>
    <d v="2025-10-07T00:00:00"/>
    <d v="2025-10-08T00:00:00"/>
    <d v="2025-10-13T00:00:00"/>
    <s v="No"/>
    <m/>
    <d v="2025-11-02T00:00:00"/>
    <x v="3"/>
    <n v="3"/>
    <n v="1"/>
    <n v="5"/>
    <x v="2"/>
  </r>
  <r>
    <s v="L1932"/>
    <x v="1"/>
    <x v="0"/>
    <x v="11"/>
    <d v="2025-10-16T00:00:00"/>
    <d v="2025-10-19T00:00:00"/>
    <d v="2025-10-26T00:00:00"/>
    <s v="No"/>
    <m/>
    <d v="2025-11-16T00:00:00"/>
    <x v="0"/>
    <n v="1"/>
    <n v="3"/>
    <n v="7"/>
    <x v="0"/>
  </r>
  <r>
    <s v="L1933"/>
    <x v="0"/>
    <x v="0"/>
    <x v="16"/>
    <d v="2025-10-21T00:00:00"/>
    <d v="2025-10-23T00:00:00"/>
    <d v="2025-10-27T00:00:00"/>
    <s v="Yes"/>
    <s v="Changed Mind"/>
    <m/>
    <x v="2"/>
    <n v="4"/>
    <n v="2"/>
    <n v="4"/>
    <x v="0"/>
  </r>
  <r>
    <s v="L1934"/>
    <x v="3"/>
    <x v="2"/>
    <x v="24"/>
    <d v="2025-10-09T00:00:00"/>
    <d v="2025-10-14T00:00:00"/>
    <d v="2025-10-19T00:00:00"/>
    <s v="No"/>
    <m/>
    <d v="2025-11-12T00:00:00"/>
    <x v="3"/>
    <n v="1"/>
    <n v="5"/>
    <n v="5"/>
    <x v="2"/>
  </r>
  <r>
    <s v="L1935"/>
    <x v="0"/>
    <x v="0"/>
    <x v="8"/>
    <d v="2025-11-05T00:00:00"/>
    <d v="2025-11-10T00:00:00"/>
    <d v="2025-11-16T00:00:00"/>
    <s v="No"/>
    <m/>
    <d v="2025-12-15T00:00:00"/>
    <x v="0"/>
    <n v="5"/>
    <n v="5"/>
    <n v="6"/>
    <x v="0"/>
  </r>
  <r>
    <s v="L1936"/>
    <x v="1"/>
    <x v="0"/>
    <x v="18"/>
    <d v="2025-10-25T00:00:00"/>
    <d v="2025-10-30T00:00:00"/>
    <d v="2025-11-04T00:00:00"/>
    <s v="No"/>
    <m/>
    <d v="2025-11-22T00:00:00"/>
    <x v="8"/>
    <n v="5"/>
    <n v="5"/>
    <n v="5"/>
    <x v="0"/>
  </r>
  <r>
    <s v="L1937"/>
    <x v="3"/>
    <x v="1"/>
    <x v="30"/>
    <m/>
    <m/>
    <m/>
    <s v="Yes"/>
    <s v="Price"/>
    <m/>
    <x v="2"/>
    <m/>
    <n v="0"/>
    <n v="0"/>
    <x v="0"/>
  </r>
  <r>
    <s v="L1938"/>
    <x v="2"/>
    <x v="2"/>
    <x v="15"/>
    <d v="2025-10-26T00:00:00"/>
    <d v="2025-10-31T00:00:00"/>
    <d v="2025-11-04T00:00:00"/>
    <s v="No"/>
    <m/>
    <d v="2025-11-16T00:00:00"/>
    <x v="11"/>
    <n v="2"/>
    <n v="5"/>
    <n v="4"/>
    <x v="1"/>
  </r>
  <r>
    <s v="L1939"/>
    <x v="3"/>
    <x v="1"/>
    <x v="19"/>
    <m/>
    <m/>
    <m/>
    <s v="Yes"/>
    <s v="Price"/>
    <m/>
    <x v="2"/>
    <m/>
    <n v="0"/>
    <n v="0"/>
    <x v="0"/>
  </r>
  <r>
    <s v="L1940"/>
    <x v="2"/>
    <x v="0"/>
    <x v="20"/>
    <d v="2025-11-02T00:00:00"/>
    <d v="2025-11-07T00:00:00"/>
    <d v="2025-11-13T00:00:00"/>
    <s v="No"/>
    <m/>
    <d v="2025-12-04T00:00:00"/>
    <x v="1"/>
    <n v="3"/>
    <n v="5"/>
    <n v="6"/>
    <x v="1"/>
  </r>
  <r>
    <s v="L1941"/>
    <x v="2"/>
    <x v="0"/>
    <x v="3"/>
    <d v="2025-11-02T00:00:00"/>
    <d v="2025-11-04T00:00:00"/>
    <d v="2025-11-10T00:00:00"/>
    <s v="No"/>
    <m/>
    <d v="2025-11-30T00:00:00"/>
    <x v="7"/>
    <n v="5"/>
    <n v="2"/>
    <n v="6"/>
    <x v="0"/>
  </r>
  <r>
    <s v="L1942"/>
    <x v="3"/>
    <x v="2"/>
    <x v="26"/>
    <d v="2025-10-25T00:00:00"/>
    <d v="2025-10-29T00:00:00"/>
    <d v="2025-11-02T00:00:00"/>
    <s v="No"/>
    <m/>
    <d v="2025-11-17T00:00:00"/>
    <x v="8"/>
    <n v="3"/>
    <n v="4"/>
    <n v="4"/>
    <x v="0"/>
  </r>
  <r>
    <s v="L1943"/>
    <x v="2"/>
    <x v="0"/>
    <x v="16"/>
    <d v="2025-10-18T00:00:00"/>
    <d v="2025-10-21T00:00:00"/>
    <d v="2025-10-26T00:00:00"/>
    <s v="No"/>
    <m/>
    <d v="2025-11-08T00:00:00"/>
    <x v="0"/>
    <n v="1"/>
    <n v="3"/>
    <n v="5"/>
    <x v="0"/>
  </r>
  <r>
    <s v="L1944"/>
    <x v="0"/>
    <x v="2"/>
    <x v="29"/>
    <d v="2025-10-14T00:00:00"/>
    <d v="2025-10-18T00:00:00"/>
    <d v="2025-10-22T00:00:00"/>
    <s v="No"/>
    <m/>
    <d v="2025-11-13T00:00:00"/>
    <x v="9"/>
    <n v="4"/>
    <n v="4"/>
    <n v="4"/>
    <x v="0"/>
  </r>
  <r>
    <s v="L1945"/>
    <x v="1"/>
    <x v="0"/>
    <x v="11"/>
    <d v="2025-10-20T00:00:00"/>
    <d v="2025-10-24T00:00:00"/>
    <d v="2025-10-27T00:00:00"/>
    <s v="No"/>
    <m/>
    <d v="2025-11-18T00:00:00"/>
    <x v="5"/>
    <n v="5"/>
    <n v="4"/>
    <n v="3"/>
    <x v="0"/>
  </r>
  <r>
    <s v="L1946"/>
    <x v="2"/>
    <x v="2"/>
    <x v="0"/>
    <d v="2025-10-25T00:00:00"/>
    <d v="2025-10-30T00:00:00"/>
    <d v="2025-11-01T00:00:00"/>
    <s v="No"/>
    <m/>
    <d v="2025-11-25T00:00:00"/>
    <x v="5"/>
    <n v="4"/>
    <n v="5"/>
    <n v="2"/>
    <x v="0"/>
  </r>
  <r>
    <s v="L1947"/>
    <x v="0"/>
    <x v="1"/>
    <x v="8"/>
    <m/>
    <m/>
    <m/>
    <s v="Yes"/>
    <s v="Other"/>
    <m/>
    <x v="2"/>
    <m/>
    <n v="0"/>
    <n v="0"/>
    <x v="0"/>
  </r>
  <r>
    <s v="L1948"/>
    <x v="2"/>
    <x v="0"/>
    <x v="2"/>
    <d v="2025-10-06T00:00:00"/>
    <d v="2025-10-11T00:00:00"/>
    <d v="2025-10-15T00:00:00"/>
    <s v="No"/>
    <m/>
    <d v="2025-11-02T00:00:00"/>
    <x v="1"/>
    <n v="5"/>
    <n v="5"/>
    <n v="4"/>
    <x v="1"/>
  </r>
  <r>
    <s v="L1949"/>
    <x v="1"/>
    <x v="0"/>
    <x v="30"/>
    <d v="2025-10-05T00:00:00"/>
    <d v="2025-10-07T00:00:00"/>
    <d v="2025-10-13T00:00:00"/>
    <s v="No"/>
    <m/>
    <d v="2025-11-04T00:00:00"/>
    <x v="0"/>
    <n v="3"/>
    <n v="2"/>
    <n v="6"/>
    <x v="0"/>
  </r>
  <r>
    <s v="L1950"/>
    <x v="0"/>
    <x v="2"/>
    <x v="6"/>
    <d v="2025-10-21T00:00:00"/>
    <d v="2025-10-24T00:00:00"/>
    <d v="2025-10-27T00:00:00"/>
    <s v="No"/>
    <m/>
    <d v="2025-11-21T00:00:00"/>
    <x v="9"/>
    <n v="5"/>
    <n v="3"/>
    <n v="3"/>
    <x v="0"/>
  </r>
  <r>
    <s v="L1951"/>
    <x v="1"/>
    <x v="2"/>
    <x v="3"/>
    <d v="2025-11-02T00:00:00"/>
    <d v="2025-11-03T00:00:00"/>
    <d v="2025-11-05T00:00:00"/>
    <s v="No"/>
    <m/>
    <d v="2025-11-28T00:00:00"/>
    <x v="10"/>
    <n v="5"/>
    <n v="1"/>
    <n v="2"/>
    <x v="0"/>
  </r>
  <r>
    <s v="L1952"/>
    <x v="1"/>
    <x v="0"/>
    <x v="27"/>
    <d v="2025-10-14T00:00:00"/>
    <d v="2025-10-18T00:00:00"/>
    <d v="2025-10-22T00:00:00"/>
    <s v="No"/>
    <m/>
    <d v="2025-11-21T00:00:00"/>
    <x v="10"/>
    <n v="1"/>
    <n v="4"/>
    <n v="4"/>
    <x v="0"/>
  </r>
  <r>
    <s v="L1953"/>
    <x v="0"/>
    <x v="0"/>
    <x v="4"/>
    <d v="2025-10-16T00:00:00"/>
    <d v="2025-10-17T00:00:00"/>
    <d v="2025-10-19T00:00:00"/>
    <s v="No"/>
    <m/>
    <d v="2025-11-03T00:00:00"/>
    <x v="5"/>
    <n v="2"/>
    <n v="1"/>
    <n v="2"/>
    <x v="0"/>
  </r>
  <r>
    <s v="L1954"/>
    <x v="0"/>
    <x v="2"/>
    <x v="26"/>
    <d v="2025-10-23T00:00:00"/>
    <d v="2025-10-26T00:00:00"/>
    <d v="2025-10-31T00:00:00"/>
    <s v="No"/>
    <m/>
    <d v="2025-11-13T00:00:00"/>
    <x v="10"/>
    <n v="1"/>
    <n v="3"/>
    <n v="5"/>
    <x v="0"/>
  </r>
  <r>
    <s v="L1955"/>
    <x v="0"/>
    <x v="0"/>
    <x v="7"/>
    <d v="2025-10-08T00:00:00"/>
    <d v="2025-10-12T00:00:00"/>
    <d v="2025-10-18T00:00:00"/>
    <s v="No"/>
    <m/>
    <d v="2025-11-01T00:00:00"/>
    <x v="0"/>
    <n v="4"/>
    <n v="4"/>
    <n v="6"/>
    <x v="0"/>
  </r>
  <r>
    <s v="L1956"/>
    <x v="3"/>
    <x v="1"/>
    <x v="6"/>
    <m/>
    <m/>
    <m/>
    <s v="Yes"/>
    <s v="Price"/>
    <m/>
    <x v="2"/>
    <m/>
    <n v="0"/>
    <n v="0"/>
    <x v="0"/>
  </r>
  <r>
    <s v="L1957"/>
    <x v="0"/>
    <x v="0"/>
    <x v="12"/>
    <d v="2025-10-26T00:00:00"/>
    <d v="2025-10-27T00:00:00"/>
    <d v="2025-10-31T00:00:00"/>
    <s v="No"/>
    <m/>
    <d v="2025-11-11T00:00:00"/>
    <x v="4"/>
    <n v="3"/>
    <n v="1"/>
    <n v="4"/>
    <x v="2"/>
  </r>
  <r>
    <s v="L1958"/>
    <x v="0"/>
    <x v="0"/>
    <x v="20"/>
    <d v="2025-11-02T00:00:00"/>
    <d v="2025-11-03T00:00:00"/>
    <d v="2025-11-09T00:00:00"/>
    <s v="No"/>
    <m/>
    <d v="2025-11-24T00:00:00"/>
    <x v="10"/>
    <n v="3"/>
    <n v="1"/>
    <n v="6"/>
    <x v="0"/>
  </r>
  <r>
    <s v="L1959"/>
    <x v="0"/>
    <x v="1"/>
    <x v="11"/>
    <m/>
    <m/>
    <m/>
    <s v="Yes"/>
    <s v="Changed Mind"/>
    <m/>
    <x v="2"/>
    <m/>
    <n v="0"/>
    <n v="0"/>
    <x v="0"/>
  </r>
  <r>
    <s v="L1960"/>
    <x v="0"/>
    <x v="2"/>
    <x v="25"/>
    <d v="2025-10-08T00:00:00"/>
    <d v="2025-10-10T00:00:00"/>
    <d v="2025-10-13T00:00:00"/>
    <s v="No"/>
    <m/>
    <d v="2025-10-26T00:00:00"/>
    <x v="1"/>
    <n v="5"/>
    <n v="2"/>
    <n v="3"/>
    <x v="1"/>
  </r>
  <r>
    <s v="L1961"/>
    <x v="2"/>
    <x v="0"/>
    <x v="10"/>
    <d v="2025-11-01T00:00:00"/>
    <d v="2025-11-04T00:00:00"/>
    <d v="2025-11-07T00:00:00"/>
    <s v="No"/>
    <m/>
    <d v="2025-11-30T00:00:00"/>
    <x v="5"/>
    <n v="3"/>
    <n v="3"/>
    <n v="3"/>
    <x v="0"/>
  </r>
  <r>
    <s v="L1962"/>
    <x v="3"/>
    <x v="1"/>
    <x v="25"/>
    <m/>
    <m/>
    <m/>
    <s v="Yes"/>
    <s v="Other"/>
    <m/>
    <x v="2"/>
    <m/>
    <n v="0"/>
    <n v="0"/>
    <x v="0"/>
  </r>
  <r>
    <s v="L1963"/>
    <x v="1"/>
    <x v="2"/>
    <x v="1"/>
    <d v="2025-10-13T00:00:00"/>
    <d v="2025-10-16T00:00:00"/>
    <d v="2025-10-18T00:00:00"/>
    <s v="No"/>
    <m/>
    <d v="2025-11-15T00:00:00"/>
    <x v="9"/>
    <n v="2"/>
    <n v="3"/>
    <n v="2"/>
    <x v="0"/>
  </r>
  <r>
    <s v="L1964"/>
    <x v="0"/>
    <x v="0"/>
    <x v="18"/>
    <d v="2025-10-22T00:00:00"/>
    <d v="2025-10-25T00:00:00"/>
    <d v="2025-10-28T00:00:00"/>
    <s v="No"/>
    <m/>
    <d v="2025-11-22T00:00:00"/>
    <x v="3"/>
    <n v="2"/>
    <n v="3"/>
    <n v="3"/>
    <x v="2"/>
  </r>
  <r>
    <s v="L1965"/>
    <x v="2"/>
    <x v="0"/>
    <x v="13"/>
    <d v="2025-10-10T00:00:00"/>
    <d v="2025-10-14T00:00:00"/>
    <d v="2025-10-21T00:00:00"/>
    <s v="No"/>
    <m/>
    <d v="2025-11-18T00:00:00"/>
    <x v="11"/>
    <n v="5"/>
    <n v="4"/>
    <n v="7"/>
    <x v="1"/>
  </r>
  <r>
    <s v="L1966"/>
    <x v="2"/>
    <x v="0"/>
    <x v="25"/>
    <d v="2025-10-08T00:00:00"/>
    <d v="2025-10-10T00:00:00"/>
    <d v="2025-10-13T00:00:00"/>
    <s v="No"/>
    <m/>
    <d v="2025-11-06T00:00:00"/>
    <x v="8"/>
    <n v="5"/>
    <n v="2"/>
    <n v="3"/>
    <x v="0"/>
  </r>
  <r>
    <s v="L1967"/>
    <x v="2"/>
    <x v="0"/>
    <x v="13"/>
    <d v="2025-10-09T00:00:00"/>
    <d v="2025-10-14T00:00:00"/>
    <d v="2025-10-18T00:00:00"/>
    <s v="No"/>
    <m/>
    <d v="2025-11-02T00:00:00"/>
    <x v="11"/>
    <n v="4"/>
    <n v="5"/>
    <n v="4"/>
    <x v="1"/>
  </r>
  <r>
    <s v="L1968"/>
    <x v="1"/>
    <x v="1"/>
    <x v="17"/>
    <m/>
    <m/>
    <m/>
    <s v="Yes"/>
    <s v="Financing Issue"/>
    <m/>
    <x v="2"/>
    <m/>
    <n v="0"/>
    <n v="0"/>
    <x v="0"/>
  </r>
  <r>
    <s v="L1969"/>
    <x v="0"/>
    <x v="0"/>
    <x v="18"/>
    <d v="2025-10-25T00:00:00"/>
    <d v="2025-10-29T00:00:00"/>
    <d v="2025-11-04T00:00:00"/>
    <s v="No"/>
    <m/>
    <d v="2025-12-03T00:00:00"/>
    <x v="5"/>
    <n v="5"/>
    <n v="4"/>
    <n v="6"/>
    <x v="0"/>
  </r>
  <r>
    <s v="L1970"/>
    <x v="3"/>
    <x v="2"/>
    <x v="0"/>
    <d v="2025-10-22T00:00:00"/>
    <d v="2025-10-25T00:00:00"/>
    <d v="2025-11-01T00:00:00"/>
    <s v="No"/>
    <m/>
    <d v="2025-11-23T00:00:00"/>
    <x v="4"/>
    <n v="1"/>
    <n v="3"/>
    <n v="7"/>
    <x v="2"/>
  </r>
  <r>
    <s v="L1971"/>
    <x v="3"/>
    <x v="1"/>
    <x v="23"/>
    <m/>
    <m/>
    <m/>
    <s v="Yes"/>
    <s v="Price"/>
    <m/>
    <x v="2"/>
    <m/>
    <n v="0"/>
    <n v="0"/>
    <x v="0"/>
  </r>
  <r>
    <s v="L1972"/>
    <x v="2"/>
    <x v="2"/>
    <x v="21"/>
    <d v="2025-10-19T00:00:00"/>
    <d v="2025-10-23T00:00:00"/>
    <d v="2025-10-25T00:00:00"/>
    <s v="No"/>
    <m/>
    <d v="2025-11-15T00:00:00"/>
    <x v="4"/>
    <n v="1"/>
    <n v="4"/>
    <n v="2"/>
    <x v="2"/>
  </r>
  <r>
    <s v="L1973"/>
    <x v="1"/>
    <x v="0"/>
    <x v="12"/>
    <d v="2025-10-24T00:00:00"/>
    <d v="2025-10-25T00:00:00"/>
    <d v="2025-10-28T00:00:00"/>
    <s v="No"/>
    <m/>
    <d v="2025-11-26T00:00:00"/>
    <x v="3"/>
    <n v="1"/>
    <n v="1"/>
    <n v="3"/>
    <x v="2"/>
  </r>
  <r>
    <s v="L1974"/>
    <x v="1"/>
    <x v="0"/>
    <x v="1"/>
    <d v="2025-10-13T00:00:00"/>
    <d v="2025-10-17T00:00:00"/>
    <d v="2025-10-23T00:00:00"/>
    <s v="No"/>
    <m/>
    <d v="2025-11-02T00:00:00"/>
    <x v="11"/>
    <n v="2"/>
    <n v="4"/>
    <n v="6"/>
    <x v="1"/>
  </r>
  <r>
    <s v="L1975"/>
    <x v="1"/>
    <x v="0"/>
    <x v="27"/>
    <d v="2025-10-16T00:00:00"/>
    <d v="2025-10-20T00:00:00"/>
    <d v="2025-10-25T00:00:00"/>
    <s v="Yes"/>
    <s v="Model Unavailable"/>
    <m/>
    <x v="2"/>
    <n v="3"/>
    <n v="4"/>
    <n v="5"/>
    <x v="0"/>
  </r>
  <r>
    <s v="L1976"/>
    <x v="3"/>
    <x v="0"/>
    <x v="18"/>
    <d v="2025-10-24T00:00:00"/>
    <d v="2025-10-27T00:00:00"/>
    <d v="2025-10-31T00:00:00"/>
    <s v="Yes"/>
    <s v="Price"/>
    <m/>
    <x v="2"/>
    <n v="4"/>
    <n v="3"/>
    <n v="4"/>
    <x v="0"/>
  </r>
  <r>
    <s v="L1977"/>
    <x v="2"/>
    <x v="1"/>
    <x v="16"/>
    <m/>
    <m/>
    <m/>
    <s v="Yes"/>
    <s v="Financing Issue"/>
    <m/>
    <x v="2"/>
    <m/>
    <n v="0"/>
    <n v="0"/>
    <x v="0"/>
  </r>
  <r>
    <s v="L1978"/>
    <x v="0"/>
    <x v="0"/>
    <x v="29"/>
    <d v="2025-10-15T00:00:00"/>
    <d v="2025-10-16T00:00:00"/>
    <d v="2025-10-19T00:00:00"/>
    <s v="No"/>
    <m/>
    <d v="2025-11-02T00:00:00"/>
    <x v="1"/>
    <n v="5"/>
    <n v="1"/>
    <n v="3"/>
    <x v="1"/>
  </r>
  <r>
    <s v="L1979"/>
    <x v="3"/>
    <x v="0"/>
    <x v="11"/>
    <d v="2025-10-19T00:00:00"/>
    <d v="2025-10-22T00:00:00"/>
    <d v="2025-10-25T00:00:00"/>
    <s v="No"/>
    <m/>
    <d v="2025-11-19T00:00:00"/>
    <x v="7"/>
    <n v="4"/>
    <n v="3"/>
    <n v="3"/>
    <x v="0"/>
  </r>
  <r>
    <s v="L1980"/>
    <x v="2"/>
    <x v="2"/>
    <x v="16"/>
    <d v="2025-10-19T00:00:00"/>
    <d v="2025-10-20T00:00:00"/>
    <d v="2025-10-23T00:00:00"/>
    <s v="No"/>
    <m/>
    <d v="2025-11-17T00:00:00"/>
    <x v="6"/>
    <n v="2"/>
    <n v="1"/>
    <n v="3"/>
    <x v="0"/>
  </r>
  <r>
    <s v="L1981"/>
    <x v="2"/>
    <x v="1"/>
    <x v="18"/>
    <m/>
    <m/>
    <m/>
    <s v="Yes"/>
    <s v="Other"/>
    <m/>
    <x v="2"/>
    <m/>
    <n v="0"/>
    <n v="0"/>
    <x v="0"/>
  </r>
  <r>
    <s v="L1982"/>
    <x v="0"/>
    <x v="1"/>
    <x v="4"/>
    <m/>
    <m/>
    <m/>
    <s v="Yes"/>
    <s v="Financing Issue"/>
    <m/>
    <x v="2"/>
    <m/>
    <n v="0"/>
    <n v="0"/>
    <x v="0"/>
  </r>
  <r>
    <s v="L1983"/>
    <x v="0"/>
    <x v="0"/>
    <x v="7"/>
    <d v="2025-10-09T00:00:00"/>
    <d v="2025-10-10T00:00:00"/>
    <d v="2025-10-16T00:00:00"/>
    <s v="No"/>
    <m/>
    <d v="2025-10-29T00:00:00"/>
    <x v="0"/>
    <n v="5"/>
    <n v="1"/>
    <n v="6"/>
    <x v="0"/>
  </r>
  <r>
    <s v="L1984"/>
    <x v="0"/>
    <x v="2"/>
    <x v="19"/>
    <d v="2025-10-31T00:00:00"/>
    <d v="2025-11-01T00:00:00"/>
    <d v="2025-11-05T00:00:00"/>
    <s v="No"/>
    <m/>
    <d v="2025-11-28T00:00:00"/>
    <x v="0"/>
    <n v="5"/>
    <n v="1"/>
    <n v="4"/>
    <x v="0"/>
  </r>
  <r>
    <s v="L1985"/>
    <x v="1"/>
    <x v="2"/>
    <x v="12"/>
    <d v="2025-10-25T00:00:00"/>
    <d v="2025-10-28T00:00:00"/>
    <d v="2025-11-04T00:00:00"/>
    <s v="No"/>
    <m/>
    <d v="2025-11-28T00:00:00"/>
    <x v="11"/>
    <n v="2"/>
    <n v="3"/>
    <n v="7"/>
    <x v="1"/>
  </r>
  <r>
    <s v="L1986"/>
    <x v="0"/>
    <x v="2"/>
    <x v="7"/>
    <d v="2025-10-07T00:00:00"/>
    <d v="2025-10-08T00:00:00"/>
    <d v="2025-10-15T00:00:00"/>
    <s v="No"/>
    <m/>
    <d v="2025-10-26T00:00:00"/>
    <x v="1"/>
    <n v="3"/>
    <n v="1"/>
    <n v="7"/>
    <x v="1"/>
  </r>
  <r>
    <s v="L1987"/>
    <x v="2"/>
    <x v="2"/>
    <x v="3"/>
    <d v="2025-11-02T00:00:00"/>
    <d v="2025-11-04T00:00:00"/>
    <d v="2025-11-08T00:00:00"/>
    <s v="No"/>
    <m/>
    <d v="2025-11-20T00:00:00"/>
    <x v="6"/>
    <n v="5"/>
    <n v="2"/>
    <n v="4"/>
    <x v="0"/>
  </r>
  <r>
    <s v="L1988"/>
    <x v="0"/>
    <x v="0"/>
    <x v="0"/>
    <d v="2025-10-24T00:00:00"/>
    <d v="2025-10-26T00:00:00"/>
    <d v="2025-11-01T00:00:00"/>
    <s v="No"/>
    <m/>
    <d v="2025-11-19T00:00:00"/>
    <x v="8"/>
    <n v="3"/>
    <n v="2"/>
    <n v="6"/>
    <x v="0"/>
  </r>
  <r>
    <s v="L1989"/>
    <x v="2"/>
    <x v="1"/>
    <x v="0"/>
    <m/>
    <m/>
    <m/>
    <s v="Yes"/>
    <s v="Model Unavailable"/>
    <m/>
    <x v="2"/>
    <m/>
    <n v="0"/>
    <n v="0"/>
    <x v="0"/>
  </r>
  <r>
    <s v="L1990"/>
    <x v="3"/>
    <x v="0"/>
    <x v="10"/>
    <d v="2025-10-31T00:00:00"/>
    <d v="2025-11-05T00:00:00"/>
    <d v="2025-11-07T00:00:00"/>
    <s v="No"/>
    <m/>
    <d v="2025-12-07T00:00:00"/>
    <x v="5"/>
    <n v="2"/>
    <n v="5"/>
    <n v="2"/>
    <x v="0"/>
  </r>
  <r>
    <s v="L1991"/>
    <x v="1"/>
    <x v="2"/>
    <x v="22"/>
    <d v="2025-10-29T00:00:00"/>
    <d v="2025-10-31T00:00:00"/>
    <d v="2025-11-07T00:00:00"/>
    <s v="No"/>
    <m/>
    <d v="2025-11-27T00:00:00"/>
    <x v="9"/>
    <n v="4"/>
    <n v="2"/>
    <n v="7"/>
    <x v="0"/>
  </r>
  <r>
    <s v="L1992"/>
    <x v="3"/>
    <x v="2"/>
    <x v="21"/>
    <d v="2025-10-23T00:00:00"/>
    <d v="2025-10-28T00:00:00"/>
    <d v="2025-11-04T00:00:00"/>
    <s v="No"/>
    <m/>
    <d v="2025-11-14T00:00:00"/>
    <x v="7"/>
    <n v="5"/>
    <n v="5"/>
    <n v="7"/>
    <x v="0"/>
  </r>
  <r>
    <s v="L1993"/>
    <x v="3"/>
    <x v="2"/>
    <x v="15"/>
    <d v="2025-10-27T00:00:00"/>
    <d v="2025-10-29T00:00:00"/>
    <d v="2025-11-02T00:00:00"/>
    <s v="No"/>
    <m/>
    <d v="2025-11-28T00:00:00"/>
    <x v="11"/>
    <n v="3"/>
    <n v="2"/>
    <n v="4"/>
    <x v="1"/>
  </r>
  <r>
    <s v="L1994"/>
    <x v="2"/>
    <x v="2"/>
    <x v="3"/>
    <d v="2025-11-02T00:00:00"/>
    <d v="2025-11-05T00:00:00"/>
    <d v="2025-11-11T00:00:00"/>
    <s v="No"/>
    <m/>
    <d v="2025-12-09T00:00:00"/>
    <x v="10"/>
    <n v="5"/>
    <n v="3"/>
    <n v="6"/>
    <x v="0"/>
  </r>
  <r>
    <s v="L1995"/>
    <x v="3"/>
    <x v="2"/>
    <x v="28"/>
    <d v="2025-10-10T00:00:00"/>
    <d v="2025-10-15T00:00:00"/>
    <d v="2025-10-21T00:00:00"/>
    <s v="No"/>
    <m/>
    <d v="2025-11-18T00:00:00"/>
    <x v="7"/>
    <n v="3"/>
    <n v="5"/>
    <n v="6"/>
    <x v="0"/>
  </r>
  <r>
    <s v="L1996"/>
    <x v="2"/>
    <x v="2"/>
    <x v="4"/>
    <d v="2025-10-19T00:00:00"/>
    <d v="2025-10-23T00:00:00"/>
    <d v="2025-10-26T00:00:00"/>
    <s v="No"/>
    <m/>
    <d v="2025-11-12T00:00:00"/>
    <x v="11"/>
    <n v="5"/>
    <n v="4"/>
    <n v="3"/>
    <x v="1"/>
  </r>
  <r>
    <s v="L1997"/>
    <x v="0"/>
    <x v="0"/>
    <x v="11"/>
    <d v="2025-10-20T00:00:00"/>
    <d v="2025-10-24T00:00:00"/>
    <d v="2025-10-30T00:00:00"/>
    <s v="No"/>
    <m/>
    <d v="2025-11-19T00:00:00"/>
    <x v="9"/>
    <n v="5"/>
    <n v="4"/>
    <n v="6"/>
    <x v="0"/>
  </r>
  <r>
    <s v="L1998"/>
    <x v="0"/>
    <x v="1"/>
    <x v="10"/>
    <m/>
    <m/>
    <m/>
    <s v="Yes"/>
    <s v="Changed Mind"/>
    <m/>
    <x v="2"/>
    <m/>
    <n v="0"/>
    <n v="0"/>
    <x v="0"/>
  </r>
  <r>
    <s v="L1999"/>
    <x v="2"/>
    <x v="0"/>
    <x v="24"/>
    <d v="2025-10-13T00:00:00"/>
    <d v="2025-10-15T00:00:00"/>
    <d v="2025-10-18T00:00:00"/>
    <s v="No"/>
    <m/>
    <d v="2025-11-13T00:00:00"/>
    <x v="8"/>
    <n v="5"/>
    <n v="2"/>
    <n v="3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C02A29-5FB8-49A4-84B4-255135A8AD46}" name="PivotTable20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9:E45" firstHeaderRow="1" firstDataRow="2" firstDataCol="1"/>
  <pivotFields count="15">
    <pivotField showAll="0"/>
    <pivotField axis="axisRow" showAll="0">
      <items count="5">
        <item x="0"/>
        <item x="3"/>
        <item x="1"/>
        <item x="2"/>
        <item t="default"/>
      </items>
    </pivotField>
    <pivotField showAll="0"/>
    <pivotField numFmtId="165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14"/>
  </colFields>
  <colItems count="4">
    <i>
      <x/>
    </i>
    <i>
      <x v="1"/>
    </i>
    <i>
      <x v="2"/>
    </i>
    <i t="grand">
      <x/>
    </i>
  </colItems>
  <dataFields count="1">
    <dataField name="Sum of Customer Rating" fld="10" baseField="1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F045A8-AF96-4A0F-9ABF-A368061B6FA8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1:E37" firstHeaderRow="1" firstDataRow="2" firstDataCol="1"/>
  <pivotFields count="15">
    <pivotField showAll="0"/>
    <pivotField axis="axisRow" showAll="0">
      <items count="5">
        <item x="0"/>
        <item x="3"/>
        <item x="1"/>
        <item x="2"/>
        <item t="default"/>
      </items>
    </pivotField>
    <pivotField showAll="0"/>
    <pivotField numFmtId="165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14"/>
  </colFields>
  <colItems count="4">
    <i>
      <x/>
    </i>
    <i>
      <x v="1"/>
    </i>
    <i>
      <x v="2"/>
    </i>
    <i t="grand">
      <x/>
    </i>
  </colItems>
  <dataFields count="1">
    <dataField name="Count of Customer Rating" fld="10" subtotal="count" showDataAs="percentOfRow" baseField="1" baseItem="1" numFmtId="10"/>
  </dataFields>
  <chartFormats count="3"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B62356-3E8C-44CE-B0D7-AAB5F25D175F}" name="PivotTable1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L3:O8" firstHeaderRow="0" firstDataRow="1" firstDataCol="1"/>
  <pivotFields count="15">
    <pivotField showAll="0"/>
    <pivotField axis="axisRow" showAll="0">
      <items count="6">
        <item x="0"/>
        <item x="3"/>
        <item x="1"/>
        <item x="2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TAT (Pre-Book -&gt; Book)" fld="12" subtotal="average" baseField="1" baseItem="0"/>
    <dataField name="Average of TAT (Book -&gt; Delivery)" fld="13" subtotal="average" baseField="1" baseItem="0"/>
    <dataField name="Average of TAT (Lead -&gt; Pre-Book)" fld="11" subtotal="average" baseField="1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779BEA-3818-4C87-8F3B-A54EB62A3936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12:G18" firstHeaderRow="1" firstDataRow="2" firstDataCol="1" rowPageCount="1" colPageCount="1"/>
  <pivotFields count="14">
    <pivotField dataField="1" showAll="0"/>
    <pivotField axis="axisRow" showAll="0">
      <items count="5">
        <item x="0"/>
        <item x="3"/>
        <item x="1"/>
        <item x="2"/>
        <item t="default"/>
      </items>
    </pivotField>
    <pivotField showAll="0"/>
    <pivotField numFmtId="165"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axis="axisCol" showAll="0">
      <items count="7">
        <item x="3"/>
        <item x="4"/>
        <item x="2"/>
        <item x="1"/>
        <item x="5"/>
        <item h="1" x="0"/>
        <item t="default"/>
      </items>
    </pivotField>
    <pivotField showAll="0"/>
    <pivotField showAll="0"/>
    <pivotField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8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7" hier="-1"/>
  </pageFields>
  <dataFields count="1">
    <dataField name="Count of Lead ID" fld="0" subtotal="count" baseField="0" baseItem="0"/>
  </dataFields>
  <chartFormats count="15"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3" format="1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3" format="1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3" format="1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7" format="1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7" format="1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7" format="1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7" format="1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7" format="1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C39BAE-AF87-4488-B86A-A8B399D680F2}" name="PivotTable8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51:C56" firstHeaderRow="1" firstDataRow="1" firstDataCol="2" rowPageCount="1" colPageCount="1"/>
  <pivotFields count="15">
    <pivotField dataField="1" compact="0" outline="0" showAll="0" defaultSubtotal="0"/>
    <pivotField axis="axisRow" compact="0" outline="0" showAll="0" defaultSubtotal="0">
      <items count="4">
        <item sd="0" x="0"/>
        <item sd="0" x="3"/>
        <item sd="0" x="1"/>
        <item sd="0" x="2"/>
      </items>
    </pivotField>
    <pivotField axis="axisPage" compact="0" outline="0" showAll="0" defaultSubtotal="0">
      <items count="3">
        <item x="1"/>
        <item x="2"/>
        <item x="0"/>
      </items>
    </pivotField>
    <pivotField axis="axisRow" compact="0" numFmtId="165" outline="0" showAll="0" defaultSubtotal="0">
      <items count="31">
        <item x="2"/>
        <item x="30"/>
        <item x="25"/>
        <item x="7"/>
        <item x="13"/>
        <item x="14"/>
        <item x="28"/>
        <item x="24"/>
        <item x="17"/>
        <item x="29"/>
        <item x="1"/>
        <item x="9"/>
        <item x="27"/>
        <item x="4"/>
        <item x="11"/>
        <item x="6"/>
        <item x="16"/>
        <item x="21"/>
        <item x="23"/>
        <item x="18"/>
        <item x="0"/>
        <item x="26"/>
        <item x="12"/>
        <item x="15"/>
        <item x="22"/>
        <item x="19"/>
        <item x="5"/>
        <item x="3"/>
        <item x="10"/>
        <item x="20"/>
        <item x="8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2">
    <field x="1"/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item="1" hier="-1"/>
  </pageFields>
  <dataFields count="1">
    <dataField name="Count of Lead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3D2EE3-3EAB-470D-A152-211EC333287C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2">
  <location ref="A3:E8" firstHeaderRow="0" firstDataRow="1" firstDataCol="1"/>
  <pivotFields count="14">
    <pivotField dataField="1" showAll="0"/>
    <pivotField axis="axisRow" showAll="0">
      <items count="5">
        <item x="0"/>
        <item x="3"/>
        <item x="1"/>
        <item x="2"/>
        <item t="default"/>
      </items>
    </pivotField>
    <pivotField showAll="0"/>
    <pivotField numFmtId="165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ount of Lead" fld="0" subtotal="count" baseField="1" baseItem="0"/>
    <dataField name="Delivery Date Assigned" fld="6" subtotal="count" baseField="1" baseItem="0"/>
    <dataField name="Booking Date Assigned" fld="5" subtotal="count" baseField="1" baseItem="0"/>
    <dataField name="Pre-Booking Date Assigned" fld="4" subtotal="count" baseField="1" baseItem="0"/>
  </dataFields>
  <chartFormats count="8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8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1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1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1" format="11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5F3FC4-02BA-40E0-9373-04B975492D8D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21:E27" firstHeaderRow="1" firstDataRow="2" firstDataCol="1"/>
  <pivotFields count="14">
    <pivotField dataField="1" showAll="0"/>
    <pivotField axis="axisRow" showAll="0">
      <items count="5">
        <item x="0"/>
        <item x="3"/>
        <item x="1"/>
        <item x="2"/>
        <item t="default"/>
      </items>
    </pivotField>
    <pivotField axis="axisCol" showAll="0">
      <items count="4">
        <item x="1"/>
        <item x="2"/>
        <item x="0"/>
        <item t="default"/>
      </items>
    </pivotField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Count of Lead ID" fld="0" subtotal="count" showDataAs="percentOfRow" baseField="1" baseItem="0" numFmtId="1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1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1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1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FCCF90-6C83-48C7-B497-52F8B5E74B0C}" name="MyTable" displayName="MyTable" ref="A1:O1001" totalsRowShown="0">
  <autoFilter ref="A1:O1001" xr:uid="{2AFCCF90-6C83-48C7-B497-52F8B5E74B0C}"/>
  <tableColumns count="15">
    <tableColumn id="1" xr3:uid="{FE159C4D-9451-4EBF-9165-4F87FE792D22}" name="Lead ID" dataDxfId="10"/>
    <tableColumn id="2" xr3:uid="{74B0C9BC-24E7-46BF-B9D3-187420230DD7}" name="Store Name" dataDxfId="9"/>
    <tableColumn id="3" xr3:uid="{FAA9D4CA-304E-4BF9-9C60-C9F30BE9547D}" name="Lead Type" dataDxfId="8"/>
    <tableColumn id="4" xr3:uid="{65727E7C-DD26-455D-B8FE-196A1174D991}" name="Lead Date" dataDxfId="7"/>
    <tableColumn id="5" xr3:uid="{6AAC6DF2-C98C-40C6-8B97-7B07358D5338}" name="Pre-Booking Date" dataDxfId="6"/>
    <tableColumn id="6" xr3:uid="{34086EFF-EDCB-438C-9BF8-DE8CA8EB1DB1}" name="Booking Date" dataDxfId="5"/>
    <tableColumn id="7" xr3:uid="{B8E45F58-C840-4DE9-8F37-3FA370E98152}" name="Delivery Date" dataDxfId="4"/>
    <tableColumn id="8" xr3:uid="{C727E6D4-B182-466D-80EF-1C2F143F3B65}" name="Cancellation Status" dataDxfId="3"/>
    <tableColumn id="9" xr3:uid="{0BD08947-6212-4DD4-8A64-C7003FD304BB}" name="Cancellation Reason"/>
    <tableColumn id="10" xr3:uid="{32AF8891-8C43-4CED-8408-A130BC523FE2}" name="Service Follow-up Date" dataDxfId="2"/>
    <tableColumn id="11" xr3:uid="{E9EACD11-D87B-4197-A497-DB2E7955F0C3}" name="Customer Rating" dataDxfId="1"/>
    <tableColumn id="12" xr3:uid="{79EE752F-EDE1-4110-B5E1-646C5C7504AF}" name="TAT (Lead -&gt; Pre-Book)" dataDxfId="0">
      <calculatedColumnFormula>E2-D2</calculatedColumnFormula>
    </tableColumn>
    <tableColumn id="13" xr3:uid="{D5E9C165-CBD3-4DCB-B06B-1C20A9A0D556}" name="TAT (Pre-Book -&gt; Book)">
      <calculatedColumnFormula>F2-E2</calculatedColumnFormula>
    </tableColumn>
    <tableColumn id="14" xr3:uid="{C8B0A16D-8138-4E31-952D-3D3AB564D9BD}" name="TAT (Book -&gt; Delivery)">
      <calculatedColumnFormula>G2-F2</calculatedColumnFormula>
    </tableColumn>
    <tableColumn id="15" xr3:uid="{34A7C857-0D94-44B4-8BE3-24260A0A8934}" name="NPS Group">
      <calculatedColumnFormula>IF(K2&gt;=9,"Promoter",IF(K2&lt;=6,"Detractor","Passive"))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U1001"/>
  <sheetViews>
    <sheetView tabSelected="1" zoomScaleNormal="100" workbookViewId="0">
      <selection activeCell="K2" sqref="K2"/>
    </sheetView>
  </sheetViews>
  <sheetFormatPr defaultColWidth="14.44140625" defaultRowHeight="15" customHeight="1" x14ac:dyDescent="0.3"/>
  <cols>
    <col min="1" max="1" width="11" customWidth="1"/>
    <col min="2" max="2" width="17.33203125" customWidth="1"/>
    <col min="3" max="3" width="14.88671875" customWidth="1"/>
    <col min="4" max="4" width="18.109375" style="15" customWidth="1"/>
    <col min="5" max="5" width="19.5546875" style="15" customWidth="1"/>
    <col min="6" max="7" width="18.109375" style="15" customWidth="1"/>
    <col min="8" max="8" width="22.6640625" customWidth="1"/>
    <col min="9" max="9" width="22.77734375" customWidth="1"/>
    <col min="10" max="10" width="26" customWidth="1"/>
    <col min="11" max="11" width="19.109375" customWidth="1"/>
    <col min="12" max="12" width="24.33203125" style="18" customWidth="1"/>
    <col min="13" max="13" width="22" customWidth="1"/>
    <col min="14" max="14" width="21.33203125" customWidth="1"/>
    <col min="15" max="15" width="12.109375" customWidth="1"/>
    <col min="16" max="16" width="27.5546875" customWidth="1"/>
    <col min="17" max="17" width="23.21875" customWidth="1"/>
    <col min="18" max="18" width="26.44140625" customWidth="1"/>
    <col min="19" max="19" width="8.6640625" customWidth="1"/>
    <col min="20" max="20" width="35.77734375" customWidth="1"/>
    <col min="21" max="21" width="18.5546875" customWidth="1"/>
    <col min="22" max="23" width="8.6640625" customWidth="1"/>
  </cols>
  <sheetData>
    <row r="1" spans="1:21" ht="14.25" customHeight="1" x14ac:dyDescent="0.3">
      <c r="A1" s="1" t="s">
        <v>0</v>
      </c>
      <c r="B1" s="1" t="s">
        <v>1</v>
      </c>
      <c r="C1" s="1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7" t="s">
        <v>1031</v>
      </c>
      <c r="M1" s="16" t="s">
        <v>1032</v>
      </c>
      <c r="N1" s="16" t="s">
        <v>1033</v>
      </c>
      <c r="O1" s="11" t="s">
        <v>1046</v>
      </c>
      <c r="P1" s="17" t="s">
        <v>1051</v>
      </c>
      <c r="Q1" s="16" t="s">
        <v>1032</v>
      </c>
      <c r="R1" s="16" t="s">
        <v>1033</v>
      </c>
    </row>
    <row r="2" spans="1:21" ht="14.25" customHeight="1" x14ac:dyDescent="0.3">
      <c r="A2" s="3" t="s">
        <v>11</v>
      </c>
      <c r="B2" s="3" t="s">
        <v>1021</v>
      </c>
      <c r="C2" s="3" t="s">
        <v>12</v>
      </c>
      <c r="D2" s="13">
        <v>45951</v>
      </c>
      <c r="E2" s="13">
        <v>45955</v>
      </c>
      <c r="F2" s="13">
        <v>45959</v>
      </c>
      <c r="G2" s="13">
        <v>45964</v>
      </c>
      <c r="H2" s="6" t="s">
        <v>13</v>
      </c>
      <c r="J2" s="4">
        <v>45989</v>
      </c>
      <c r="K2" s="3">
        <v>2</v>
      </c>
      <c r="L2" s="18">
        <f>E2-D2</f>
        <v>4</v>
      </c>
      <c r="M2">
        <f>F2-E2</f>
        <v>4</v>
      </c>
      <c r="N2">
        <f>G2-F2</f>
        <v>5</v>
      </c>
      <c r="O2" t="str">
        <f>IF(K2&gt;=9,"Promoter",IF(K2&lt;=6,"Detractor","Passive"))</f>
        <v>Detractor</v>
      </c>
      <c r="P2" s="18">
        <f>AVERAGE(L2:L1001)</f>
        <v>3.0578817733990147</v>
      </c>
      <c r="Q2" s="18">
        <f>AVERAGE(M2:M1001)</f>
        <v>2.492</v>
      </c>
      <c r="R2" s="18">
        <f t="shared" ref="R2" si="0">AVERAGE(N2:N1001)</f>
        <v>3.6190000000000002</v>
      </c>
    </row>
    <row r="3" spans="1:21" ht="14.25" customHeight="1" x14ac:dyDescent="0.3">
      <c r="A3" s="3" t="s">
        <v>14</v>
      </c>
      <c r="B3" s="3" t="s">
        <v>1022</v>
      </c>
      <c r="C3" s="3" t="s">
        <v>12</v>
      </c>
      <c r="D3" s="13">
        <v>45941</v>
      </c>
      <c r="E3" s="13">
        <v>45944</v>
      </c>
      <c r="F3" s="13">
        <v>45949</v>
      </c>
      <c r="G3" s="13">
        <v>45956</v>
      </c>
      <c r="H3" s="3" t="s">
        <v>13</v>
      </c>
      <c r="J3" s="4">
        <v>45983</v>
      </c>
      <c r="K3" s="3">
        <v>8</v>
      </c>
      <c r="L3" s="18">
        <f t="shared" ref="L3:L65" si="1">E3-D3</f>
        <v>3</v>
      </c>
      <c r="M3">
        <f t="shared" ref="M3:M66" si="2">F3-E3</f>
        <v>5</v>
      </c>
      <c r="N3">
        <f t="shared" ref="N3:N66" si="3">G3-F3</f>
        <v>7</v>
      </c>
      <c r="O3" t="str">
        <f t="shared" ref="O3:O66" si="4">IF(K3&gt;=9,"Promoter",IF(K3&lt;=6,"Detractor","Passive"))</f>
        <v>Passive</v>
      </c>
    </row>
    <row r="4" spans="1:21" ht="14.25" customHeight="1" x14ac:dyDescent="0.3">
      <c r="A4" s="3" t="s">
        <v>15</v>
      </c>
      <c r="B4" s="3" t="s">
        <v>1023</v>
      </c>
      <c r="C4" s="3" t="s">
        <v>16</v>
      </c>
      <c r="D4" s="13">
        <v>45931</v>
      </c>
      <c r="H4" s="3" t="s">
        <v>17</v>
      </c>
      <c r="I4" s="3" t="s">
        <v>18</v>
      </c>
      <c r="M4">
        <f t="shared" si="2"/>
        <v>0</v>
      </c>
      <c r="N4">
        <f t="shared" si="3"/>
        <v>0</v>
      </c>
      <c r="O4" t="str">
        <f t="shared" si="4"/>
        <v>Detractor</v>
      </c>
      <c r="T4" s="5" t="s">
        <v>1025</v>
      </c>
      <c r="U4" s="7" t="s">
        <v>1026</v>
      </c>
    </row>
    <row r="5" spans="1:21" ht="14.25" customHeight="1" x14ac:dyDescent="0.3">
      <c r="A5" s="3" t="s">
        <v>19</v>
      </c>
      <c r="B5" s="3" t="s">
        <v>1021</v>
      </c>
      <c r="C5" s="3" t="s">
        <v>16</v>
      </c>
      <c r="D5" s="13">
        <v>45958</v>
      </c>
      <c r="H5" s="3" t="s">
        <v>17</v>
      </c>
      <c r="I5" s="3" t="s">
        <v>20</v>
      </c>
      <c r="M5">
        <f t="shared" si="2"/>
        <v>0</v>
      </c>
      <c r="N5">
        <f t="shared" si="3"/>
        <v>0</v>
      </c>
      <c r="O5" t="str">
        <f t="shared" si="4"/>
        <v>Detractor</v>
      </c>
    </row>
    <row r="6" spans="1:21" ht="14.25" customHeight="1" x14ac:dyDescent="0.3">
      <c r="A6" s="3" t="s">
        <v>21</v>
      </c>
      <c r="B6" s="3" t="s">
        <v>1022</v>
      </c>
      <c r="C6" s="3" t="s">
        <v>12</v>
      </c>
      <c r="D6" s="13">
        <v>45944</v>
      </c>
      <c r="E6" s="13">
        <v>45948</v>
      </c>
      <c r="F6" s="13">
        <v>45951</v>
      </c>
      <c r="G6" s="13">
        <v>45954</v>
      </c>
      <c r="H6" s="3" t="s">
        <v>13</v>
      </c>
      <c r="J6" s="4">
        <v>45973</v>
      </c>
      <c r="K6" s="3">
        <v>8</v>
      </c>
      <c r="L6" s="18">
        <f t="shared" si="1"/>
        <v>4</v>
      </c>
      <c r="M6">
        <f t="shared" si="2"/>
        <v>3</v>
      </c>
      <c r="N6">
        <f t="shared" si="3"/>
        <v>3</v>
      </c>
      <c r="O6" t="str">
        <f t="shared" si="4"/>
        <v>Passive</v>
      </c>
      <c r="T6" s="25" t="b">
        <f>AND(K2&gt;=1, K2&lt;=1001)</f>
        <v>1</v>
      </c>
      <c r="U6" s="23" t="s">
        <v>1027</v>
      </c>
    </row>
    <row r="7" spans="1:21" ht="14.25" customHeight="1" x14ac:dyDescent="0.3">
      <c r="A7" s="3" t="s">
        <v>22</v>
      </c>
      <c r="B7" s="3" t="s">
        <v>1022</v>
      </c>
      <c r="C7" s="3" t="s">
        <v>12</v>
      </c>
      <c r="D7" s="13">
        <v>45957</v>
      </c>
      <c r="E7" s="13">
        <v>45961</v>
      </c>
      <c r="F7" s="13">
        <v>45965</v>
      </c>
      <c r="G7" s="13">
        <v>45968</v>
      </c>
      <c r="H7" s="3" t="s">
        <v>13</v>
      </c>
      <c r="J7" s="4">
        <v>45983</v>
      </c>
      <c r="K7" s="3">
        <v>9</v>
      </c>
      <c r="L7" s="18">
        <f t="shared" si="1"/>
        <v>4</v>
      </c>
      <c r="M7">
        <f t="shared" si="2"/>
        <v>4</v>
      </c>
      <c r="N7">
        <f t="shared" si="3"/>
        <v>3</v>
      </c>
      <c r="O7" t="str">
        <f t="shared" si="4"/>
        <v>Promoter</v>
      </c>
    </row>
    <row r="8" spans="1:21" ht="14.25" customHeight="1" x14ac:dyDescent="0.3">
      <c r="A8" s="3" t="s">
        <v>23</v>
      </c>
      <c r="B8" s="3" t="s">
        <v>1023</v>
      </c>
      <c r="C8" s="3" t="s">
        <v>24</v>
      </c>
      <c r="D8" s="13">
        <v>45946</v>
      </c>
      <c r="E8" s="13">
        <v>45950</v>
      </c>
      <c r="F8" s="13">
        <v>45951</v>
      </c>
      <c r="G8" s="13">
        <v>45958</v>
      </c>
      <c r="H8" s="3" t="s">
        <v>13</v>
      </c>
      <c r="J8" s="4">
        <v>45983</v>
      </c>
      <c r="K8" s="3">
        <v>10</v>
      </c>
      <c r="L8" s="18">
        <f t="shared" si="1"/>
        <v>4</v>
      </c>
      <c r="M8">
        <f t="shared" si="2"/>
        <v>1</v>
      </c>
      <c r="N8">
        <f t="shared" si="3"/>
        <v>7</v>
      </c>
      <c r="O8" t="str">
        <f t="shared" si="4"/>
        <v>Promoter</v>
      </c>
      <c r="T8" t="s">
        <v>1034</v>
      </c>
      <c r="U8" s="23" t="s">
        <v>1057</v>
      </c>
    </row>
    <row r="9" spans="1:21" ht="14.25" customHeight="1" x14ac:dyDescent="0.3">
      <c r="A9" s="3" t="s">
        <v>25</v>
      </c>
      <c r="B9" s="3" t="s">
        <v>1024</v>
      </c>
      <c r="C9" s="3" t="s">
        <v>12</v>
      </c>
      <c r="D9" s="13">
        <v>45934</v>
      </c>
      <c r="E9" s="13">
        <v>45935</v>
      </c>
      <c r="F9" s="13">
        <v>45938</v>
      </c>
      <c r="G9" s="13">
        <v>45945</v>
      </c>
      <c r="H9" s="3" t="s">
        <v>17</v>
      </c>
      <c r="I9" s="3" t="s">
        <v>26</v>
      </c>
      <c r="L9" s="18">
        <f t="shared" si="1"/>
        <v>1</v>
      </c>
      <c r="M9">
        <f t="shared" si="2"/>
        <v>3</v>
      </c>
      <c r="N9">
        <f t="shared" si="3"/>
        <v>7</v>
      </c>
      <c r="O9" t="str">
        <f t="shared" si="4"/>
        <v>Detractor</v>
      </c>
      <c r="T9" t="s">
        <v>1035</v>
      </c>
      <c r="U9" s="23" t="s">
        <v>1058</v>
      </c>
    </row>
    <row r="10" spans="1:21" ht="14.25" customHeight="1" x14ac:dyDescent="0.3">
      <c r="A10" s="3" t="s">
        <v>27</v>
      </c>
      <c r="B10" s="3" t="s">
        <v>1021</v>
      </c>
      <c r="C10" s="3" t="s">
        <v>24</v>
      </c>
      <c r="D10" s="13">
        <v>45944</v>
      </c>
      <c r="E10" s="13">
        <v>45947</v>
      </c>
      <c r="F10" s="13">
        <v>45950</v>
      </c>
      <c r="G10" s="13">
        <v>45955</v>
      </c>
      <c r="H10" s="3" t="s">
        <v>13</v>
      </c>
      <c r="J10" s="4">
        <v>45966</v>
      </c>
      <c r="K10" s="3">
        <v>8</v>
      </c>
      <c r="L10" s="18">
        <f t="shared" si="1"/>
        <v>3</v>
      </c>
      <c r="M10">
        <f t="shared" si="2"/>
        <v>3</v>
      </c>
      <c r="N10">
        <f t="shared" si="3"/>
        <v>5</v>
      </c>
      <c r="O10" t="str">
        <f t="shared" si="4"/>
        <v>Passive</v>
      </c>
      <c r="T10" t="s">
        <v>1036</v>
      </c>
      <c r="U10" s="23" t="s">
        <v>1059</v>
      </c>
    </row>
    <row r="11" spans="1:21" ht="14.25" customHeight="1" x14ac:dyDescent="0.3">
      <c r="A11" s="3" t="s">
        <v>28</v>
      </c>
      <c r="B11" s="3" t="s">
        <v>1023</v>
      </c>
      <c r="C11" s="3" t="s">
        <v>12</v>
      </c>
      <c r="D11" s="13">
        <v>45961</v>
      </c>
      <c r="E11" s="13">
        <v>45965</v>
      </c>
      <c r="F11" s="13">
        <v>45966</v>
      </c>
      <c r="G11" s="13">
        <v>45971</v>
      </c>
      <c r="H11" s="3" t="s">
        <v>13</v>
      </c>
      <c r="J11" s="4">
        <v>45983</v>
      </c>
      <c r="K11" s="3">
        <v>6</v>
      </c>
      <c r="L11" s="18">
        <f t="shared" si="1"/>
        <v>4</v>
      </c>
      <c r="M11">
        <f t="shared" si="2"/>
        <v>1</v>
      </c>
      <c r="N11">
        <f t="shared" si="3"/>
        <v>5</v>
      </c>
      <c r="O11" t="str">
        <f t="shared" si="4"/>
        <v>Detractor</v>
      </c>
      <c r="T11" t="s">
        <v>1056</v>
      </c>
      <c r="U11" s="23" t="s">
        <v>1060</v>
      </c>
    </row>
    <row r="12" spans="1:21" ht="14.25" customHeight="1" x14ac:dyDescent="0.3">
      <c r="A12" s="3" t="s">
        <v>29</v>
      </c>
      <c r="B12" s="3" t="s">
        <v>1021</v>
      </c>
      <c r="C12" s="3" t="s">
        <v>16</v>
      </c>
      <c r="D12" s="13">
        <v>45942</v>
      </c>
      <c r="H12" s="3" t="s">
        <v>17</v>
      </c>
      <c r="I12" s="3" t="s">
        <v>18</v>
      </c>
      <c r="M12">
        <f t="shared" si="2"/>
        <v>0</v>
      </c>
      <c r="N12">
        <f t="shared" si="3"/>
        <v>0</v>
      </c>
      <c r="O12" t="str">
        <f t="shared" si="4"/>
        <v>Detractor</v>
      </c>
      <c r="T12" s="18"/>
    </row>
    <row r="13" spans="1:21" ht="14.25" customHeight="1" x14ac:dyDescent="0.3">
      <c r="A13" s="3" t="s">
        <v>30</v>
      </c>
      <c r="B13" s="3" t="s">
        <v>1022</v>
      </c>
      <c r="C13" s="3" t="s">
        <v>12</v>
      </c>
      <c r="D13" s="13">
        <v>45951</v>
      </c>
      <c r="E13" s="13">
        <v>45954</v>
      </c>
      <c r="F13" s="13">
        <v>45958</v>
      </c>
      <c r="G13" s="13">
        <v>45960</v>
      </c>
      <c r="H13" s="3" t="s">
        <v>13</v>
      </c>
      <c r="J13" s="4">
        <v>45971</v>
      </c>
      <c r="K13" s="3">
        <v>0</v>
      </c>
      <c r="L13" s="18">
        <f t="shared" si="1"/>
        <v>3</v>
      </c>
      <c r="M13">
        <f t="shared" si="2"/>
        <v>4</v>
      </c>
      <c r="N13">
        <f t="shared" si="3"/>
        <v>2</v>
      </c>
      <c r="O13" t="str">
        <f t="shared" si="4"/>
        <v>Detractor</v>
      </c>
    </row>
    <row r="14" spans="1:21" ht="14.25" customHeight="1" x14ac:dyDescent="0.3">
      <c r="A14" s="3" t="s">
        <v>31</v>
      </c>
      <c r="B14" s="3" t="s">
        <v>1022</v>
      </c>
      <c r="C14" s="3" t="s">
        <v>12</v>
      </c>
      <c r="D14" s="13">
        <v>45959</v>
      </c>
      <c r="E14" s="13">
        <v>45962</v>
      </c>
      <c r="F14" s="13">
        <v>45967</v>
      </c>
      <c r="G14" s="13">
        <v>45974</v>
      </c>
      <c r="H14" s="3" t="s">
        <v>13</v>
      </c>
      <c r="J14" s="4">
        <v>45991</v>
      </c>
      <c r="K14" s="3">
        <v>10</v>
      </c>
      <c r="L14" s="18">
        <f t="shared" si="1"/>
        <v>3</v>
      </c>
      <c r="M14">
        <f t="shared" si="2"/>
        <v>5</v>
      </c>
      <c r="N14">
        <f t="shared" si="3"/>
        <v>7</v>
      </c>
      <c r="O14" t="str">
        <f t="shared" si="4"/>
        <v>Promoter</v>
      </c>
    </row>
    <row r="15" spans="1:21" ht="14.25" customHeight="1" x14ac:dyDescent="0.3">
      <c r="A15" s="3" t="s">
        <v>32</v>
      </c>
      <c r="B15" s="3" t="s">
        <v>1024</v>
      </c>
      <c r="C15" s="3" t="s">
        <v>12</v>
      </c>
      <c r="D15" s="13">
        <v>45957</v>
      </c>
      <c r="E15" s="13">
        <v>45960</v>
      </c>
      <c r="F15" s="13">
        <v>45963</v>
      </c>
      <c r="G15" s="13">
        <v>45969</v>
      </c>
      <c r="H15" s="3" t="s">
        <v>13</v>
      </c>
      <c r="J15" s="4">
        <v>45998</v>
      </c>
      <c r="K15" s="3">
        <v>2</v>
      </c>
      <c r="L15" s="18">
        <f t="shared" si="1"/>
        <v>3</v>
      </c>
      <c r="M15">
        <f t="shared" si="2"/>
        <v>3</v>
      </c>
      <c r="N15">
        <f t="shared" si="3"/>
        <v>6</v>
      </c>
      <c r="O15" t="str">
        <f t="shared" si="4"/>
        <v>Detractor</v>
      </c>
    </row>
    <row r="16" spans="1:21" ht="14.25" customHeight="1" x14ac:dyDescent="0.3">
      <c r="A16" s="3" t="s">
        <v>33</v>
      </c>
      <c r="B16" s="3" t="s">
        <v>1022</v>
      </c>
      <c r="C16" s="3" t="s">
        <v>24</v>
      </c>
      <c r="D16" s="13">
        <v>45945</v>
      </c>
      <c r="E16" s="13">
        <v>45947</v>
      </c>
      <c r="F16" s="13">
        <v>45948</v>
      </c>
      <c r="G16" s="13">
        <v>45951</v>
      </c>
      <c r="H16" s="3" t="s">
        <v>17</v>
      </c>
      <c r="I16" s="3" t="s">
        <v>26</v>
      </c>
      <c r="L16" s="18">
        <f t="shared" si="1"/>
        <v>2</v>
      </c>
      <c r="M16">
        <f t="shared" si="2"/>
        <v>1</v>
      </c>
      <c r="N16">
        <f t="shared" si="3"/>
        <v>3</v>
      </c>
      <c r="O16" t="str">
        <f t="shared" si="4"/>
        <v>Detractor</v>
      </c>
    </row>
    <row r="17" spans="1:15" ht="14.25" customHeight="1" x14ac:dyDescent="0.3">
      <c r="A17" s="3" t="s">
        <v>34</v>
      </c>
      <c r="B17" s="3" t="s">
        <v>1022</v>
      </c>
      <c r="C17" s="3" t="s">
        <v>12</v>
      </c>
      <c r="D17" s="13">
        <v>45953</v>
      </c>
      <c r="E17" s="13">
        <v>45957</v>
      </c>
      <c r="F17" s="13">
        <v>45962</v>
      </c>
      <c r="G17" s="13">
        <v>45967</v>
      </c>
      <c r="H17" s="3" t="s">
        <v>13</v>
      </c>
      <c r="J17" s="4">
        <v>45984</v>
      </c>
      <c r="K17" s="3">
        <v>8</v>
      </c>
      <c r="L17" s="18">
        <f t="shared" si="1"/>
        <v>4</v>
      </c>
      <c r="M17">
        <f t="shared" si="2"/>
        <v>5</v>
      </c>
      <c r="N17">
        <f t="shared" si="3"/>
        <v>5</v>
      </c>
      <c r="O17" t="str">
        <f t="shared" si="4"/>
        <v>Passive</v>
      </c>
    </row>
    <row r="18" spans="1:15" ht="14.25" customHeight="1" x14ac:dyDescent="0.3">
      <c r="A18" s="3" t="s">
        <v>35</v>
      </c>
      <c r="B18" s="3" t="s">
        <v>1023</v>
      </c>
      <c r="C18" s="3" t="s">
        <v>24</v>
      </c>
      <c r="D18" s="13">
        <v>45935</v>
      </c>
      <c r="E18" s="13">
        <v>45936</v>
      </c>
      <c r="F18" s="13">
        <v>45940</v>
      </c>
      <c r="G18" s="13">
        <v>45946</v>
      </c>
      <c r="H18" s="3" t="s">
        <v>13</v>
      </c>
      <c r="J18" s="4">
        <v>45956</v>
      </c>
      <c r="K18" s="3">
        <v>2</v>
      </c>
      <c r="L18" s="18">
        <f t="shared" si="1"/>
        <v>1</v>
      </c>
      <c r="M18">
        <f t="shared" si="2"/>
        <v>4</v>
      </c>
      <c r="N18">
        <f t="shared" si="3"/>
        <v>6</v>
      </c>
      <c r="O18" t="str">
        <f t="shared" si="4"/>
        <v>Detractor</v>
      </c>
    </row>
    <row r="19" spans="1:15" ht="14.25" customHeight="1" x14ac:dyDescent="0.3">
      <c r="A19" s="3" t="s">
        <v>36</v>
      </c>
      <c r="B19" s="3" t="s">
        <v>1021</v>
      </c>
      <c r="C19" s="3" t="s">
        <v>24</v>
      </c>
      <c r="D19" s="13">
        <v>45944</v>
      </c>
      <c r="E19" s="13">
        <v>45945</v>
      </c>
      <c r="F19" s="13">
        <v>45948</v>
      </c>
      <c r="G19" s="13">
        <v>45953</v>
      </c>
      <c r="H19" s="3" t="s">
        <v>13</v>
      </c>
      <c r="J19" s="4">
        <v>45979</v>
      </c>
      <c r="K19" s="3">
        <v>0</v>
      </c>
      <c r="L19" s="18">
        <f t="shared" si="1"/>
        <v>1</v>
      </c>
      <c r="M19">
        <f t="shared" si="2"/>
        <v>3</v>
      </c>
      <c r="N19">
        <f t="shared" si="3"/>
        <v>5</v>
      </c>
      <c r="O19" t="str">
        <f t="shared" si="4"/>
        <v>Detractor</v>
      </c>
    </row>
    <row r="20" spans="1:15" ht="14.25" customHeight="1" x14ac:dyDescent="0.3">
      <c r="A20" s="3" t="s">
        <v>37</v>
      </c>
      <c r="B20" s="3" t="s">
        <v>1021</v>
      </c>
      <c r="C20" s="3" t="s">
        <v>12</v>
      </c>
      <c r="D20" s="13">
        <v>45936</v>
      </c>
      <c r="E20" s="13">
        <v>45937</v>
      </c>
      <c r="F20" s="13">
        <v>45942</v>
      </c>
      <c r="G20" s="13">
        <v>45947</v>
      </c>
      <c r="H20" s="3" t="s">
        <v>13</v>
      </c>
      <c r="J20" s="4">
        <v>45972</v>
      </c>
      <c r="K20" s="3">
        <v>5</v>
      </c>
      <c r="L20" s="18">
        <f t="shared" si="1"/>
        <v>1</v>
      </c>
      <c r="M20">
        <f t="shared" si="2"/>
        <v>5</v>
      </c>
      <c r="N20">
        <f t="shared" si="3"/>
        <v>5</v>
      </c>
      <c r="O20" t="str">
        <f t="shared" si="4"/>
        <v>Detractor</v>
      </c>
    </row>
    <row r="21" spans="1:15" ht="14.25" customHeight="1" x14ac:dyDescent="0.3">
      <c r="A21" s="3" t="s">
        <v>38</v>
      </c>
      <c r="B21" s="3" t="s">
        <v>1023</v>
      </c>
      <c r="C21" s="3" t="s">
        <v>12</v>
      </c>
      <c r="D21" s="13">
        <v>45954</v>
      </c>
      <c r="E21" s="13">
        <v>45955</v>
      </c>
      <c r="F21" s="13">
        <v>45960</v>
      </c>
      <c r="G21" s="13">
        <v>45962</v>
      </c>
      <c r="H21" s="3" t="s">
        <v>13</v>
      </c>
      <c r="J21" s="4">
        <v>45972</v>
      </c>
      <c r="K21" s="3">
        <v>4</v>
      </c>
      <c r="L21" s="18">
        <f t="shared" si="1"/>
        <v>1</v>
      </c>
      <c r="M21">
        <f t="shared" si="2"/>
        <v>5</v>
      </c>
      <c r="N21">
        <f t="shared" si="3"/>
        <v>2</v>
      </c>
      <c r="O21" t="str">
        <f t="shared" si="4"/>
        <v>Detractor</v>
      </c>
    </row>
    <row r="22" spans="1:15" ht="14.25" customHeight="1" x14ac:dyDescent="0.3">
      <c r="A22" s="3" t="s">
        <v>39</v>
      </c>
      <c r="B22" s="3" t="s">
        <v>1024</v>
      </c>
      <c r="C22" s="3" t="s">
        <v>12</v>
      </c>
      <c r="D22" s="13">
        <v>45947</v>
      </c>
      <c r="E22" s="13">
        <v>45951</v>
      </c>
      <c r="F22" s="13">
        <v>45953</v>
      </c>
      <c r="G22" s="13">
        <v>45960</v>
      </c>
      <c r="H22" s="3" t="s">
        <v>13</v>
      </c>
      <c r="J22" s="4">
        <v>45980</v>
      </c>
      <c r="K22" s="3">
        <v>6</v>
      </c>
      <c r="L22" s="18">
        <f t="shared" si="1"/>
        <v>4</v>
      </c>
      <c r="M22">
        <f t="shared" si="2"/>
        <v>2</v>
      </c>
      <c r="N22">
        <f t="shared" si="3"/>
        <v>7</v>
      </c>
      <c r="O22" t="str">
        <f t="shared" si="4"/>
        <v>Detractor</v>
      </c>
    </row>
    <row r="23" spans="1:15" ht="14.25" customHeight="1" x14ac:dyDescent="0.3">
      <c r="A23" s="3" t="s">
        <v>40</v>
      </c>
      <c r="B23" s="3" t="s">
        <v>1021</v>
      </c>
      <c r="C23" s="3" t="s">
        <v>24</v>
      </c>
      <c r="D23" s="13">
        <v>45961</v>
      </c>
      <c r="E23" s="13">
        <v>45962</v>
      </c>
      <c r="F23" s="13">
        <v>45963</v>
      </c>
      <c r="G23" s="13">
        <v>45966</v>
      </c>
      <c r="H23" s="3" t="s">
        <v>13</v>
      </c>
      <c r="J23" s="4">
        <v>45995</v>
      </c>
      <c r="K23" s="3">
        <v>3</v>
      </c>
      <c r="L23" s="18">
        <f t="shared" si="1"/>
        <v>1</v>
      </c>
      <c r="M23">
        <f t="shared" si="2"/>
        <v>1</v>
      </c>
      <c r="N23">
        <f t="shared" si="3"/>
        <v>3</v>
      </c>
      <c r="O23" t="str">
        <f t="shared" si="4"/>
        <v>Detractor</v>
      </c>
    </row>
    <row r="24" spans="1:15" ht="14.25" customHeight="1" x14ac:dyDescent="0.3">
      <c r="A24" s="3" t="s">
        <v>41</v>
      </c>
      <c r="B24" s="3" t="s">
        <v>1022</v>
      </c>
      <c r="C24" s="3" t="s">
        <v>12</v>
      </c>
      <c r="D24" s="13">
        <v>45951</v>
      </c>
      <c r="E24" s="13">
        <v>45954</v>
      </c>
      <c r="F24" s="13">
        <v>45959</v>
      </c>
      <c r="G24" s="13">
        <v>45962</v>
      </c>
      <c r="H24" s="3" t="s">
        <v>13</v>
      </c>
      <c r="J24" s="4">
        <v>45978</v>
      </c>
      <c r="K24" s="3">
        <v>8</v>
      </c>
      <c r="L24" s="18">
        <f t="shared" si="1"/>
        <v>3</v>
      </c>
      <c r="M24">
        <f t="shared" si="2"/>
        <v>5</v>
      </c>
      <c r="N24">
        <f t="shared" si="3"/>
        <v>3</v>
      </c>
      <c r="O24" t="str">
        <f t="shared" si="4"/>
        <v>Passive</v>
      </c>
    </row>
    <row r="25" spans="1:15" ht="14.25" customHeight="1" x14ac:dyDescent="0.3">
      <c r="A25" s="3" t="s">
        <v>42</v>
      </c>
      <c r="B25" s="3" t="s">
        <v>1021</v>
      </c>
      <c r="C25" s="3" t="s">
        <v>12</v>
      </c>
      <c r="D25" s="13">
        <v>45939</v>
      </c>
      <c r="E25" s="13">
        <v>45941</v>
      </c>
      <c r="F25" s="13">
        <v>45945</v>
      </c>
      <c r="G25" s="13">
        <v>45949</v>
      </c>
      <c r="H25" s="3" t="s">
        <v>13</v>
      </c>
      <c r="J25" s="4">
        <v>45963</v>
      </c>
      <c r="K25" s="3">
        <v>3</v>
      </c>
      <c r="L25" s="18">
        <f t="shared" si="1"/>
        <v>2</v>
      </c>
      <c r="M25">
        <f t="shared" si="2"/>
        <v>4</v>
      </c>
      <c r="N25">
        <f t="shared" si="3"/>
        <v>4</v>
      </c>
      <c r="O25" t="str">
        <f t="shared" si="4"/>
        <v>Detractor</v>
      </c>
    </row>
    <row r="26" spans="1:15" ht="14.25" customHeight="1" x14ac:dyDescent="0.3">
      <c r="A26" s="3" t="s">
        <v>43</v>
      </c>
      <c r="B26" s="3" t="s">
        <v>1022</v>
      </c>
      <c r="C26" s="3" t="s">
        <v>12</v>
      </c>
      <c r="D26" s="13">
        <v>45950</v>
      </c>
      <c r="E26" s="13">
        <v>45955</v>
      </c>
      <c r="F26" s="13">
        <v>45957</v>
      </c>
      <c r="G26" s="13">
        <v>45964</v>
      </c>
      <c r="H26" s="3" t="s">
        <v>13</v>
      </c>
      <c r="J26" s="4">
        <v>45984</v>
      </c>
      <c r="K26" s="3">
        <v>1</v>
      </c>
      <c r="L26" s="18">
        <f t="shared" si="1"/>
        <v>5</v>
      </c>
      <c r="M26">
        <f t="shared" si="2"/>
        <v>2</v>
      </c>
      <c r="N26">
        <f t="shared" si="3"/>
        <v>7</v>
      </c>
      <c r="O26" t="str">
        <f t="shared" si="4"/>
        <v>Detractor</v>
      </c>
    </row>
    <row r="27" spans="1:15" ht="14.25" customHeight="1" x14ac:dyDescent="0.3">
      <c r="A27" s="3" t="s">
        <v>44</v>
      </c>
      <c r="B27" s="3" t="s">
        <v>1024</v>
      </c>
      <c r="C27" s="3" t="s">
        <v>12</v>
      </c>
      <c r="D27" s="13">
        <v>45956</v>
      </c>
      <c r="E27" s="13">
        <v>45957</v>
      </c>
      <c r="F27" s="13">
        <v>45962</v>
      </c>
      <c r="G27" s="13">
        <v>45964</v>
      </c>
      <c r="H27" s="3" t="s">
        <v>13</v>
      </c>
      <c r="J27" s="4">
        <v>45979</v>
      </c>
      <c r="K27" s="3">
        <v>4</v>
      </c>
      <c r="L27" s="18">
        <f t="shared" si="1"/>
        <v>1</v>
      </c>
      <c r="M27">
        <f t="shared" si="2"/>
        <v>5</v>
      </c>
      <c r="N27">
        <f t="shared" si="3"/>
        <v>2</v>
      </c>
      <c r="O27" t="str">
        <f t="shared" si="4"/>
        <v>Detractor</v>
      </c>
    </row>
    <row r="28" spans="1:15" ht="14.25" customHeight="1" x14ac:dyDescent="0.3">
      <c r="A28" s="3" t="s">
        <v>45</v>
      </c>
      <c r="B28" s="3" t="s">
        <v>1023</v>
      </c>
      <c r="C28" s="3" t="s">
        <v>12</v>
      </c>
      <c r="D28" s="13">
        <v>45960</v>
      </c>
      <c r="E28" s="13">
        <v>45965</v>
      </c>
      <c r="F28" s="13">
        <v>45970</v>
      </c>
      <c r="G28" s="13">
        <v>45976</v>
      </c>
      <c r="H28" s="3" t="s">
        <v>13</v>
      </c>
      <c r="J28" s="4">
        <v>45996</v>
      </c>
      <c r="K28" s="3">
        <v>1</v>
      </c>
      <c r="L28" s="18">
        <f t="shared" si="1"/>
        <v>5</v>
      </c>
      <c r="M28">
        <f t="shared" si="2"/>
        <v>5</v>
      </c>
      <c r="N28">
        <f t="shared" si="3"/>
        <v>6</v>
      </c>
      <c r="O28" t="str">
        <f t="shared" si="4"/>
        <v>Detractor</v>
      </c>
    </row>
    <row r="29" spans="1:15" ht="14.25" customHeight="1" x14ac:dyDescent="0.3">
      <c r="A29" s="3" t="s">
        <v>46</v>
      </c>
      <c r="B29" s="3" t="s">
        <v>1021</v>
      </c>
      <c r="C29" s="3" t="s">
        <v>12</v>
      </c>
      <c r="D29" s="13">
        <v>45948</v>
      </c>
      <c r="E29" s="13">
        <v>45953</v>
      </c>
      <c r="F29" s="13">
        <v>45957</v>
      </c>
      <c r="G29" s="13">
        <v>45959</v>
      </c>
      <c r="H29" s="3" t="s">
        <v>13</v>
      </c>
      <c r="J29" s="4">
        <v>45970</v>
      </c>
      <c r="K29" s="3">
        <v>3</v>
      </c>
      <c r="L29" s="18">
        <f t="shared" si="1"/>
        <v>5</v>
      </c>
      <c r="M29">
        <f t="shared" si="2"/>
        <v>4</v>
      </c>
      <c r="N29">
        <f t="shared" si="3"/>
        <v>2</v>
      </c>
      <c r="O29" t="str">
        <f t="shared" si="4"/>
        <v>Detractor</v>
      </c>
    </row>
    <row r="30" spans="1:15" ht="14.25" customHeight="1" x14ac:dyDescent="0.3">
      <c r="A30" s="3" t="s">
        <v>47</v>
      </c>
      <c r="B30" s="3" t="s">
        <v>1023</v>
      </c>
      <c r="C30" s="3" t="s">
        <v>12</v>
      </c>
      <c r="D30" s="13">
        <v>45955</v>
      </c>
      <c r="E30" s="13">
        <v>45960</v>
      </c>
      <c r="F30" s="13">
        <v>45962</v>
      </c>
      <c r="G30" s="13">
        <v>45968</v>
      </c>
      <c r="H30" s="3" t="s">
        <v>13</v>
      </c>
      <c r="J30" s="4">
        <v>45978</v>
      </c>
      <c r="K30" s="3">
        <v>3</v>
      </c>
      <c r="L30" s="18">
        <f t="shared" si="1"/>
        <v>5</v>
      </c>
      <c r="M30">
        <f t="shared" si="2"/>
        <v>2</v>
      </c>
      <c r="N30">
        <f t="shared" si="3"/>
        <v>6</v>
      </c>
      <c r="O30" t="str">
        <f t="shared" si="4"/>
        <v>Detractor</v>
      </c>
    </row>
    <row r="31" spans="1:15" ht="14.25" customHeight="1" x14ac:dyDescent="0.3">
      <c r="A31" s="3" t="s">
        <v>48</v>
      </c>
      <c r="B31" s="3" t="s">
        <v>1021</v>
      </c>
      <c r="C31" s="3" t="s">
        <v>16</v>
      </c>
      <c r="D31" s="13">
        <v>45946</v>
      </c>
      <c r="H31" s="3" t="s">
        <v>17</v>
      </c>
      <c r="I31" s="3" t="s">
        <v>26</v>
      </c>
      <c r="M31">
        <f t="shared" si="2"/>
        <v>0</v>
      </c>
      <c r="N31">
        <f t="shared" si="3"/>
        <v>0</v>
      </c>
      <c r="O31" t="str">
        <f t="shared" si="4"/>
        <v>Detractor</v>
      </c>
    </row>
    <row r="32" spans="1:15" ht="14.25" customHeight="1" x14ac:dyDescent="0.3">
      <c r="A32" s="3" t="s">
        <v>49</v>
      </c>
      <c r="B32" s="3" t="s">
        <v>1022</v>
      </c>
      <c r="C32" s="3" t="s">
        <v>12</v>
      </c>
      <c r="D32" s="13">
        <v>45945</v>
      </c>
      <c r="E32" s="13">
        <v>45948</v>
      </c>
      <c r="F32" s="13">
        <v>45950</v>
      </c>
      <c r="G32" s="13">
        <v>45953</v>
      </c>
      <c r="H32" s="3" t="s">
        <v>13</v>
      </c>
      <c r="J32" s="4">
        <v>45967</v>
      </c>
      <c r="K32" s="3">
        <v>3</v>
      </c>
      <c r="L32" s="18">
        <f t="shared" si="1"/>
        <v>3</v>
      </c>
      <c r="M32">
        <f t="shared" si="2"/>
        <v>2</v>
      </c>
      <c r="N32">
        <f t="shared" si="3"/>
        <v>3</v>
      </c>
      <c r="O32" t="str">
        <f t="shared" si="4"/>
        <v>Detractor</v>
      </c>
    </row>
    <row r="33" spans="1:15" ht="14.25" customHeight="1" x14ac:dyDescent="0.3">
      <c r="A33" s="3" t="s">
        <v>50</v>
      </c>
      <c r="B33" s="3" t="s">
        <v>1023</v>
      </c>
      <c r="C33" s="3" t="s">
        <v>12</v>
      </c>
      <c r="D33" s="13">
        <v>45944</v>
      </c>
      <c r="E33" s="13">
        <v>45945</v>
      </c>
      <c r="F33" s="13">
        <v>45946</v>
      </c>
      <c r="G33" s="13">
        <v>45950</v>
      </c>
      <c r="H33" s="3" t="s">
        <v>13</v>
      </c>
      <c r="J33" s="4">
        <v>45978</v>
      </c>
      <c r="K33" s="3">
        <v>5</v>
      </c>
      <c r="L33" s="18">
        <f t="shared" si="1"/>
        <v>1</v>
      </c>
      <c r="M33">
        <f t="shared" si="2"/>
        <v>1</v>
      </c>
      <c r="N33">
        <f t="shared" si="3"/>
        <v>4</v>
      </c>
      <c r="O33" t="str">
        <f t="shared" si="4"/>
        <v>Detractor</v>
      </c>
    </row>
    <row r="34" spans="1:15" ht="14.25" customHeight="1" x14ac:dyDescent="0.3">
      <c r="A34" s="3" t="s">
        <v>51</v>
      </c>
      <c r="B34" s="3" t="s">
        <v>1021</v>
      </c>
      <c r="C34" s="3" t="s">
        <v>12</v>
      </c>
      <c r="D34" s="13">
        <v>45957</v>
      </c>
      <c r="E34" s="13">
        <v>45961</v>
      </c>
      <c r="F34" s="13">
        <v>45966</v>
      </c>
      <c r="G34" s="13">
        <v>45970</v>
      </c>
      <c r="H34" s="3" t="s">
        <v>13</v>
      </c>
      <c r="J34" s="4">
        <v>45984</v>
      </c>
      <c r="K34" s="3">
        <v>3</v>
      </c>
      <c r="L34" s="18">
        <f t="shared" si="1"/>
        <v>4</v>
      </c>
      <c r="M34">
        <f t="shared" si="2"/>
        <v>5</v>
      </c>
      <c r="N34">
        <f t="shared" si="3"/>
        <v>4</v>
      </c>
      <c r="O34" t="str">
        <f t="shared" si="4"/>
        <v>Detractor</v>
      </c>
    </row>
    <row r="35" spans="1:15" ht="14.25" customHeight="1" x14ac:dyDescent="0.3">
      <c r="A35" s="3" t="s">
        <v>52</v>
      </c>
      <c r="B35" s="3" t="s">
        <v>1022</v>
      </c>
      <c r="C35" s="3" t="s">
        <v>12</v>
      </c>
      <c r="D35" s="13">
        <v>45954</v>
      </c>
      <c r="E35" s="13">
        <v>45957</v>
      </c>
      <c r="F35" s="13">
        <v>45958</v>
      </c>
      <c r="G35" s="13">
        <v>45961</v>
      </c>
      <c r="H35" s="3" t="s">
        <v>13</v>
      </c>
      <c r="J35" s="4">
        <v>45974</v>
      </c>
      <c r="K35" s="3">
        <v>3</v>
      </c>
      <c r="L35" s="18">
        <f t="shared" si="1"/>
        <v>3</v>
      </c>
      <c r="M35">
        <f t="shared" si="2"/>
        <v>1</v>
      </c>
      <c r="N35">
        <f t="shared" si="3"/>
        <v>3</v>
      </c>
      <c r="O35" t="str">
        <f t="shared" si="4"/>
        <v>Detractor</v>
      </c>
    </row>
    <row r="36" spans="1:15" ht="14.25" customHeight="1" x14ac:dyDescent="0.3">
      <c r="A36" s="3" t="s">
        <v>53</v>
      </c>
      <c r="B36" s="3" t="s">
        <v>1023</v>
      </c>
      <c r="C36" s="3" t="s">
        <v>16</v>
      </c>
      <c r="D36" s="13">
        <v>45949</v>
      </c>
      <c r="H36" s="3" t="s">
        <v>17</v>
      </c>
      <c r="I36" s="3" t="s">
        <v>20</v>
      </c>
      <c r="M36">
        <f t="shared" si="2"/>
        <v>0</v>
      </c>
      <c r="N36">
        <f t="shared" si="3"/>
        <v>0</v>
      </c>
      <c r="O36" t="str">
        <f t="shared" si="4"/>
        <v>Detractor</v>
      </c>
    </row>
    <row r="37" spans="1:15" ht="14.25" customHeight="1" x14ac:dyDescent="0.3">
      <c r="A37" s="3" t="s">
        <v>54</v>
      </c>
      <c r="B37" s="3" t="s">
        <v>1023</v>
      </c>
      <c r="C37" s="3" t="s">
        <v>12</v>
      </c>
      <c r="D37" s="13">
        <v>45939</v>
      </c>
      <c r="E37" s="13">
        <v>45943</v>
      </c>
      <c r="F37" s="13">
        <v>45945</v>
      </c>
      <c r="G37" s="13">
        <v>45950</v>
      </c>
      <c r="H37" s="3" t="s">
        <v>13</v>
      </c>
      <c r="J37" s="4">
        <v>45976</v>
      </c>
      <c r="K37" s="3">
        <v>9</v>
      </c>
      <c r="L37" s="18">
        <f t="shared" si="1"/>
        <v>4</v>
      </c>
      <c r="M37">
        <f t="shared" si="2"/>
        <v>2</v>
      </c>
      <c r="N37">
        <f t="shared" si="3"/>
        <v>5</v>
      </c>
      <c r="O37" t="str">
        <f t="shared" si="4"/>
        <v>Promoter</v>
      </c>
    </row>
    <row r="38" spans="1:15" ht="14.25" customHeight="1" x14ac:dyDescent="0.3">
      <c r="A38" s="3" t="s">
        <v>55</v>
      </c>
      <c r="B38" s="3" t="s">
        <v>1021</v>
      </c>
      <c r="C38" s="3" t="s">
        <v>12</v>
      </c>
      <c r="D38" s="13">
        <v>45941</v>
      </c>
      <c r="E38" s="13">
        <v>45942</v>
      </c>
      <c r="F38" s="13">
        <v>45943</v>
      </c>
      <c r="G38" s="13">
        <v>45945</v>
      </c>
      <c r="H38" s="3" t="s">
        <v>17</v>
      </c>
      <c r="I38" s="3" t="s">
        <v>56</v>
      </c>
      <c r="L38" s="18">
        <f t="shared" si="1"/>
        <v>1</v>
      </c>
      <c r="M38">
        <f t="shared" si="2"/>
        <v>1</v>
      </c>
      <c r="N38">
        <f t="shared" si="3"/>
        <v>2</v>
      </c>
      <c r="O38" t="str">
        <f t="shared" si="4"/>
        <v>Detractor</v>
      </c>
    </row>
    <row r="39" spans="1:15" ht="14.25" customHeight="1" x14ac:dyDescent="0.3">
      <c r="A39" s="3" t="s">
        <v>57</v>
      </c>
      <c r="B39" s="3" t="s">
        <v>1021</v>
      </c>
      <c r="C39" s="3" t="s">
        <v>12</v>
      </c>
      <c r="D39" s="13">
        <v>45958</v>
      </c>
      <c r="E39" s="13">
        <v>45961</v>
      </c>
      <c r="F39" s="13">
        <v>45965</v>
      </c>
      <c r="G39" s="13">
        <v>45969</v>
      </c>
      <c r="H39" s="3" t="s">
        <v>13</v>
      </c>
      <c r="J39" s="4">
        <v>45990</v>
      </c>
      <c r="K39" s="3">
        <v>2</v>
      </c>
      <c r="L39" s="18">
        <f t="shared" si="1"/>
        <v>3</v>
      </c>
      <c r="M39">
        <f t="shared" si="2"/>
        <v>4</v>
      </c>
      <c r="N39">
        <f t="shared" si="3"/>
        <v>4</v>
      </c>
      <c r="O39" t="str">
        <f t="shared" si="4"/>
        <v>Detractor</v>
      </c>
    </row>
    <row r="40" spans="1:15" ht="14.25" customHeight="1" x14ac:dyDescent="0.3">
      <c r="A40" s="3" t="s">
        <v>58</v>
      </c>
      <c r="B40" s="3" t="s">
        <v>1021</v>
      </c>
      <c r="C40" s="3" t="s">
        <v>12</v>
      </c>
      <c r="D40" s="13">
        <v>45938</v>
      </c>
      <c r="E40" s="13">
        <v>45943</v>
      </c>
      <c r="F40" s="13">
        <v>45946</v>
      </c>
      <c r="G40" s="13">
        <v>45953</v>
      </c>
      <c r="H40" s="3" t="s">
        <v>13</v>
      </c>
      <c r="J40" s="4">
        <v>45965</v>
      </c>
      <c r="K40" s="3">
        <v>9</v>
      </c>
      <c r="L40" s="18">
        <f t="shared" si="1"/>
        <v>5</v>
      </c>
      <c r="M40">
        <f t="shared" si="2"/>
        <v>3</v>
      </c>
      <c r="N40">
        <f t="shared" si="3"/>
        <v>7</v>
      </c>
      <c r="O40" t="str">
        <f t="shared" si="4"/>
        <v>Promoter</v>
      </c>
    </row>
    <row r="41" spans="1:15" ht="14.25" customHeight="1" x14ac:dyDescent="0.3">
      <c r="A41" s="3" t="s">
        <v>59</v>
      </c>
      <c r="B41" s="3" t="s">
        <v>1022</v>
      </c>
      <c r="C41" s="3" t="s">
        <v>12</v>
      </c>
      <c r="D41" s="13">
        <v>45957</v>
      </c>
      <c r="E41" s="13">
        <v>45960</v>
      </c>
      <c r="F41" s="13">
        <v>45964</v>
      </c>
      <c r="G41" s="13">
        <v>45969</v>
      </c>
      <c r="H41" s="3" t="s">
        <v>17</v>
      </c>
      <c r="I41" s="3" t="s">
        <v>18</v>
      </c>
      <c r="L41" s="18">
        <f t="shared" si="1"/>
        <v>3</v>
      </c>
      <c r="M41">
        <f t="shared" si="2"/>
        <v>4</v>
      </c>
      <c r="N41">
        <f t="shared" si="3"/>
        <v>5</v>
      </c>
      <c r="O41" t="str">
        <f t="shared" si="4"/>
        <v>Detractor</v>
      </c>
    </row>
    <row r="42" spans="1:15" ht="14.25" customHeight="1" x14ac:dyDescent="0.3">
      <c r="A42" s="3" t="s">
        <v>60</v>
      </c>
      <c r="B42" s="3" t="s">
        <v>1021</v>
      </c>
      <c r="C42" s="3" t="s">
        <v>16</v>
      </c>
      <c r="D42" s="13">
        <v>45960</v>
      </c>
      <c r="H42" s="3" t="s">
        <v>17</v>
      </c>
      <c r="I42" s="3" t="s">
        <v>20</v>
      </c>
      <c r="M42">
        <f t="shared" si="2"/>
        <v>0</v>
      </c>
      <c r="N42">
        <f t="shared" si="3"/>
        <v>0</v>
      </c>
      <c r="O42" t="str">
        <f t="shared" si="4"/>
        <v>Detractor</v>
      </c>
    </row>
    <row r="43" spans="1:15" ht="14.25" customHeight="1" x14ac:dyDescent="0.3">
      <c r="A43" s="3" t="s">
        <v>61</v>
      </c>
      <c r="B43" s="3" t="s">
        <v>1023</v>
      </c>
      <c r="C43" s="3" t="s">
        <v>12</v>
      </c>
      <c r="D43" s="13">
        <v>45933</v>
      </c>
      <c r="E43" s="13">
        <v>45936</v>
      </c>
      <c r="F43" s="13">
        <v>45938</v>
      </c>
      <c r="G43" s="13">
        <v>45944</v>
      </c>
      <c r="H43" s="3" t="s">
        <v>13</v>
      </c>
      <c r="J43" s="4">
        <v>45965</v>
      </c>
      <c r="K43" s="3">
        <v>6</v>
      </c>
      <c r="L43" s="18">
        <f t="shared" si="1"/>
        <v>3</v>
      </c>
      <c r="M43">
        <f t="shared" si="2"/>
        <v>2</v>
      </c>
      <c r="N43">
        <f t="shared" si="3"/>
        <v>6</v>
      </c>
      <c r="O43" t="str">
        <f t="shared" si="4"/>
        <v>Detractor</v>
      </c>
    </row>
    <row r="44" spans="1:15" ht="14.25" customHeight="1" x14ac:dyDescent="0.3">
      <c r="A44" s="3" t="s">
        <v>62</v>
      </c>
      <c r="B44" s="3" t="s">
        <v>1023</v>
      </c>
      <c r="C44" s="3" t="s">
        <v>12</v>
      </c>
      <c r="D44" s="13">
        <v>45939</v>
      </c>
      <c r="E44" s="13">
        <v>45940</v>
      </c>
      <c r="F44" s="13">
        <v>45944</v>
      </c>
      <c r="G44" s="13">
        <v>45951</v>
      </c>
      <c r="H44" s="3" t="s">
        <v>13</v>
      </c>
      <c r="J44" s="4">
        <v>45973</v>
      </c>
      <c r="K44" s="3">
        <v>7</v>
      </c>
      <c r="L44" s="18">
        <f t="shared" si="1"/>
        <v>1</v>
      </c>
      <c r="M44">
        <f t="shared" si="2"/>
        <v>4</v>
      </c>
      <c r="N44">
        <f t="shared" si="3"/>
        <v>7</v>
      </c>
      <c r="O44" t="str">
        <f t="shared" si="4"/>
        <v>Passive</v>
      </c>
    </row>
    <row r="45" spans="1:15" ht="14.25" customHeight="1" x14ac:dyDescent="0.3">
      <c r="A45" s="3" t="s">
        <v>63</v>
      </c>
      <c r="B45" s="3" t="s">
        <v>1021</v>
      </c>
      <c r="C45" s="3" t="s">
        <v>16</v>
      </c>
      <c r="D45" s="13">
        <v>45959</v>
      </c>
      <c r="H45" s="3" t="s">
        <v>17</v>
      </c>
      <c r="I45" s="3" t="s">
        <v>26</v>
      </c>
      <c r="M45">
        <f t="shared" si="2"/>
        <v>0</v>
      </c>
      <c r="N45">
        <f t="shared" si="3"/>
        <v>0</v>
      </c>
      <c r="O45" t="str">
        <f t="shared" si="4"/>
        <v>Detractor</v>
      </c>
    </row>
    <row r="46" spans="1:15" ht="14.25" customHeight="1" x14ac:dyDescent="0.3">
      <c r="A46" s="3" t="s">
        <v>64</v>
      </c>
      <c r="B46" s="3" t="s">
        <v>1021</v>
      </c>
      <c r="C46" s="3" t="s">
        <v>24</v>
      </c>
      <c r="D46" s="13">
        <v>45945</v>
      </c>
      <c r="E46" s="13">
        <v>45950</v>
      </c>
      <c r="F46" s="13">
        <v>45952</v>
      </c>
      <c r="G46" s="13">
        <v>45956</v>
      </c>
      <c r="H46" s="3" t="s">
        <v>13</v>
      </c>
      <c r="J46" s="4">
        <v>45984</v>
      </c>
      <c r="K46" s="3">
        <v>8</v>
      </c>
      <c r="L46" s="18">
        <f t="shared" si="1"/>
        <v>5</v>
      </c>
      <c r="M46">
        <f t="shared" si="2"/>
        <v>2</v>
      </c>
      <c r="N46">
        <f t="shared" si="3"/>
        <v>4</v>
      </c>
      <c r="O46" t="str">
        <f t="shared" si="4"/>
        <v>Passive</v>
      </c>
    </row>
    <row r="47" spans="1:15" ht="14.25" customHeight="1" x14ac:dyDescent="0.3">
      <c r="A47" s="3" t="s">
        <v>65</v>
      </c>
      <c r="B47" s="3" t="s">
        <v>1024</v>
      </c>
      <c r="C47" s="3" t="s">
        <v>24</v>
      </c>
      <c r="D47" s="13">
        <v>45938</v>
      </c>
      <c r="E47" s="13">
        <v>45943</v>
      </c>
      <c r="F47" s="13">
        <v>45947</v>
      </c>
      <c r="G47" s="13">
        <v>45953</v>
      </c>
      <c r="H47" s="3" t="s">
        <v>13</v>
      </c>
      <c r="J47" s="4">
        <v>45966</v>
      </c>
      <c r="K47" s="3">
        <v>3</v>
      </c>
      <c r="L47" s="18">
        <f t="shared" si="1"/>
        <v>5</v>
      </c>
      <c r="M47">
        <f t="shared" si="2"/>
        <v>4</v>
      </c>
      <c r="N47">
        <f t="shared" si="3"/>
        <v>6</v>
      </c>
      <c r="O47" t="str">
        <f t="shared" si="4"/>
        <v>Detractor</v>
      </c>
    </row>
    <row r="48" spans="1:15" ht="14.25" customHeight="1" x14ac:dyDescent="0.3">
      <c r="A48" s="3" t="s">
        <v>66</v>
      </c>
      <c r="B48" s="3" t="s">
        <v>1023</v>
      </c>
      <c r="C48" s="3" t="s">
        <v>12</v>
      </c>
      <c r="D48" s="13">
        <v>45955</v>
      </c>
      <c r="E48" s="13">
        <v>45957</v>
      </c>
      <c r="F48" s="13">
        <v>45962</v>
      </c>
      <c r="G48" s="13">
        <v>45967</v>
      </c>
      <c r="H48" s="3" t="s">
        <v>13</v>
      </c>
      <c r="J48" s="4">
        <v>45987</v>
      </c>
      <c r="K48" s="3">
        <v>5</v>
      </c>
      <c r="L48" s="18">
        <f t="shared" si="1"/>
        <v>2</v>
      </c>
      <c r="M48">
        <f t="shared" si="2"/>
        <v>5</v>
      </c>
      <c r="N48">
        <f t="shared" si="3"/>
        <v>5</v>
      </c>
      <c r="O48" t="str">
        <f t="shared" si="4"/>
        <v>Detractor</v>
      </c>
    </row>
    <row r="49" spans="1:15" ht="14.25" customHeight="1" x14ac:dyDescent="0.3">
      <c r="A49" s="3" t="s">
        <v>67</v>
      </c>
      <c r="B49" s="3" t="s">
        <v>1022</v>
      </c>
      <c r="C49" s="3" t="s">
        <v>16</v>
      </c>
      <c r="D49" s="13">
        <v>45945</v>
      </c>
      <c r="H49" s="3" t="s">
        <v>17</v>
      </c>
      <c r="I49" s="3" t="s">
        <v>20</v>
      </c>
      <c r="M49">
        <f t="shared" si="2"/>
        <v>0</v>
      </c>
      <c r="N49">
        <f t="shared" si="3"/>
        <v>0</v>
      </c>
      <c r="O49" t="str">
        <f t="shared" si="4"/>
        <v>Detractor</v>
      </c>
    </row>
    <row r="50" spans="1:15" ht="14.25" customHeight="1" x14ac:dyDescent="0.3">
      <c r="A50" s="3" t="s">
        <v>68</v>
      </c>
      <c r="B50" s="3" t="s">
        <v>1024</v>
      </c>
      <c r="C50" s="3" t="s">
        <v>24</v>
      </c>
      <c r="D50" s="13">
        <v>45949</v>
      </c>
      <c r="E50" s="13">
        <v>45951</v>
      </c>
      <c r="F50" s="13">
        <v>45956</v>
      </c>
      <c r="G50" s="13">
        <v>45962</v>
      </c>
      <c r="H50" s="3" t="s">
        <v>13</v>
      </c>
      <c r="J50" s="4">
        <v>45981</v>
      </c>
      <c r="K50" s="3">
        <v>0</v>
      </c>
      <c r="L50" s="18">
        <f t="shared" si="1"/>
        <v>2</v>
      </c>
      <c r="M50">
        <f t="shared" si="2"/>
        <v>5</v>
      </c>
      <c r="N50">
        <f t="shared" si="3"/>
        <v>6</v>
      </c>
      <c r="O50" t="str">
        <f t="shared" si="4"/>
        <v>Detractor</v>
      </c>
    </row>
    <row r="51" spans="1:15" ht="14.25" customHeight="1" x14ac:dyDescent="0.3">
      <c r="A51" s="3" t="s">
        <v>69</v>
      </c>
      <c r="B51" s="3" t="s">
        <v>1021</v>
      </c>
      <c r="C51" s="3" t="s">
        <v>24</v>
      </c>
      <c r="D51" s="13">
        <v>45950</v>
      </c>
      <c r="E51" s="13">
        <v>45954</v>
      </c>
      <c r="F51" s="13">
        <v>45958</v>
      </c>
      <c r="G51" s="13">
        <v>45963</v>
      </c>
      <c r="H51" s="3" t="s">
        <v>13</v>
      </c>
      <c r="J51" s="4">
        <v>45983</v>
      </c>
      <c r="K51" s="3">
        <v>6</v>
      </c>
      <c r="L51" s="18">
        <f t="shared" si="1"/>
        <v>4</v>
      </c>
      <c r="M51">
        <f t="shared" si="2"/>
        <v>4</v>
      </c>
      <c r="N51">
        <f t="shared" si="3"/>
        <v>5</v>
      </c>
      <c r="O51" t="str">
        <f t="shared" si="4"/>
        <v>Detractor</v>
      </c>
    </row>
    <row r="52" spans="1:15" ht="14.25" customHeight="1" x14ac:dyDescent="0.3">
      <c r="A52" s="3" t="s">
        <v>70</v>
      </c>
      <c r="B52" s="3" t="s">
        <v>1021</v>
      </c>
      <c r="C52" s="3" t="s">
        <v>24</v>
      </c>
      <c r="D52" s="13">
        <v>45952</v>
      </c>
      <c r="E52" s="13">
        <v>45954</v>
      </c>
      <c r="F52" s="13">
        <v>45955</v>
      </c>
      <c r="G52" s="13">
        <v>45961</v>
      </c>
      <c r="H52" s="3" t="s">
        <v>13</v>
      </c>
      <c r="J52" s="4">
        <v>45975</v>
      </c>
      <c r="K52" s="3">
        <v>6</v>
      </c>
      <c r="L52" s="18">
        <f t="shared" si="1"/>
        <v>2</v>
      </c>
      <c r="M52">
        <f t="shared" si="2"/>
        <v>1</v>
      </c>
      <c r="N52">
        <f t="shared" si="3"/>
        <v>6</v>
      </c>
      <c r="O52" t="str">
        <f t="shared" si="4"/>
        <v>Detractor</v>
      </c>
    </row>
    <row r="53" spans="1:15" ht="14.25" customHeight="1" x14ac:dyDescent="0.3">
      <c r="A53" s="3" t="s">
        <v>71</v>
      </c>
      <c r="B53" s="3" t="s">
        <v>1023</v>
      </c>
      <c r="C53" s="3" t="s">
        <v>24</v>
      </c>
      <c r="D53" s="13">
        <v>45943</v>
      </c>
      <c r="E53" s="13">
        <v>45944</v>
      </c>
      <c r="F53" s="13">
        <v>45946</v>
      </c>
      <c r="G53" s="13">
        <v>45948</v>
      </c>
      <c r="H53" s="3" t="s">
        <v>13</v>
      </c>
      <c r="J53" s="4">
        <v>45963</v>
      </c>
      <c r="K53" s="3">
        <v>6</v>
      </c>
      <c r="L53" s="18">
        <f t="shared" si="1"/>
        <v>1</v>
      </c>
      <c r="M53">
        <f t="shared" si="2"/>
        <v>2</v>
      </c>
      <c r="N53">
        <f t="shared" si="3"/>
        <v>2</v>
      </c>
      <c r="O53" t="str">
        <f t="shared" si="4"/>
        <v>Detractor</v>
      </c>
    </row>
    <row r="54" spans="1:15" ht="14.25" customHeight="1" x14ac:dyDescent="0.3">
      <c r="A54" s="3" t="s">
        <v>72</v>
      </c>
      <c r="B54" s="3" t="s">
        <v>1021</v>
      </c>
      <c r="C54" s="3" t="s">
        <v>24</v>
      </c>
      <c r="D54" s="13">
        <v>45941</v>
      </c>
      <c r="E54" s="13">
        <v>45944</v>
      </c>
      <c r="F54" s="13">
        <v>45949</v>
      </c>
      <c r="G54" s="13">
        <v>45953</v>
      </c>
      <c r="H54" s="3" t="s">
        <v>13</v>
      </c>
      <c r="J54" s="4">
        <v>45976</v>
      </c>
      <c r="K54" s="3">
        <v>4</v>
      </c>
      <c r="L54" s="18">
        <f t="shared" si="1"/>
        <v>3</v>
      </c>
      <c r="M54">
        <f t="shared" si="2"/>
        <v>5</v>
      </c>
      <c r="N54">
        <f t="shared" si="3"/>
        <v>4</v>
      </c>
      <c r="O54" t="str">
        <f t="shared" si="4"/>
        <v>Detractor</v>
      </c>
    </row>
    <row r="55" spans="1:15" ht="14.25" customHeight="1" x14ac:dyDescent="0.3">
      <c r="A55" s="3" t="s">
        <v>73</v>
      </c>
      <c r="B55" s="3" t="s">
        <v>1022</v>
      </c>
      <c r="C55" s="3" t="s">
        <v>12</v>
      </c>
      <c r="D55" s="13">
        <v>45931</v>
      </c>
      <c r="E55" s="13">
        <v>45936</v>
      </c>
      <c r="F55" s="13">
        <v>45938</v>
      </c>
      <c r="G55" s="13">
        <v>45942</v>
      </c>
      <c r="H55" s="3" t="s">
        <v>13</v>
      </c>
      <c r="J55" s="4">
        <v>45972</v>
      </c>
      <c r="K55" s="3">
        <v>4</v>
      </c>
      <c r="L55" s="18">
        <f t="shared" si="1"/>
        <v>5</v>
      </c>
      <c r="M55">
        <f t="shared" si="2"/>
        <v>2</v>
      </c>
      <c r="N55">
        <f t="shared" si="3"/>
        <v>4</v>
      </c>
      <c r="O55" t="str">
        <f t="shared" si="4"/>
        <v>Detractor</v>
      </c>
    </row>
    <row r="56" spans="1:15" ht="14.25" customHeight="1" x14ac:dyDescent="0.3">
      <c r="A56" s="3" t="s">
        <v>74</v>
      </c>
      <c r="B56" s="3" t="s">
        <v>1023</v>
      </c>
      <c r="C56" s="3" t="s">
        <v>12</v>
      </c>
      <c r="D56" s="13">
        <v>45946</v>
      </c>
      <c r="E56" s="13">
        <v>45949</v>
      </c>
      <c r="F56" s="13">
        <v>45954</v>
      </c>
      <c r="G56" s="13">
        <v>45959</v>
      </c>
      <c r="H56" s="3" t="s">
        <v>13</v>
      </c>
      <c r="J56" s="4">
        <v>45984</v>
      </c>
      <c r="K56" s="3">
        <v>8</v>
      </c>
      <c r="L56" s="18">
        <f t="shared" si="1"/>
        <v>3</v>
      </c>
      <c r="M56">
        <f t="shared" si="2"/>
        <v>5</v>
      </c>
      <c r="N56">
        <f t="shared" si="3"/>
        <v>5</v>
      </c>
      <c r="O56" t="str">
        <f t="shared" si="4"/>
        <v>Passive</v>
      </c>
    </row>
    <row r="57" spans="1:15" ht="14.25" customHeight="1" x14ac:dyDescent="0.3">
      <c r="A57" s="3" t="s">
        <v>75</v>
      </c>
      <c r="B57" s="3" t="s">
        <v>1021</v>
      </c>
      <c r="C57" s="3" t="s">
        <v>24</v>
      </c>
      <c r="D57" s="13">
        <v>45958</v>
      </c>
      <c r="E57" s="13">
        <v>45959</v>
      </c>
      <c r="F57" s="13">
        <v>45962</v>
      </c>
      <c r="G57" s="13">
        <v>45968</v>
      </c>
      <c r="H57" s="3" t="s">
        <v>13</v>
      </c>
      <c r="J57" s="4">
        <v>45998</v>
      </c>
      <c r="K57" s="3">
        <v>3</v>
      </c>
      <c r="L57" s="18">
        <f t="shared" si="1"/>
        <v>1</v>
      </c>
      <c r="M57">
        <f t="shared" si="2"/>
        <v>3</v>
      </c>
      <c r="N57">
        <f t="shared" si="3"/>
        <v>6</v>
      </c>
      <c r="O57" t="str">
        <f t="shared" si="4"/>
        <v>Detractor</v>
      </c>
    </row>
    <row r="58" spans="1:15" ht="14.25" customHeight="1" x14ac:dyDescent="0.3">
      <c r="A58" s="3" t="s">
        <v>76</v>
      </c>
      <c r="B58" s="3" t="s">
        <v>1023</v>
      </c>
      <c r="C58" s="3" t="s">
        <v>12</v>
      </c>
      <c r="D58" s="13">
        <v>45941</v>
      </c>
      <c r="E58" s="13">
        <v>45944</v>
      </c>
      <c r="F58" s="13">
        <v>45948</v>
      </c>
      <c r="G58" s="13">
        <v>45951</v>
      </c>
      <c r="H58" s="3" t="s">
        <v>13</v>
      </c>
      <c r="J58" s="4">
        <v>45971</v>
      </c>
      <c r="K58" s="3">
        <v>6</v>
      </c>
      <c r="L58" s="18">
        <f t="shared" si="1"/>
        <v>3</v>
      </c>
      <c r="M58">
        <f t="shared" si="2"/>
        <v>4</v>
      </c>
      <c r="N58">
        <f t="shared" si="3"/>
        <v>3</v>
      </c>
      <c r="O58" t="str">
        <f t="shared" si="4"/>
        <v>Detractor</v>
      </c>
    </row>
    <row r="59" spans="1:15" ht="14.25" customHeight="1" x14ac:dyDescent="0.3">
      <c r="A59" s="3" t="s">
        <v>77</v>
      </c>
      <c r="B59" s="3" t="s">
        <v>1021</v>
      </c>
      <c r="C59" s="3" t="s">
        <v>24</v>
      </c>
      <c r="D59" s="13">
        <v>45936</v>
      </c>
      <c r="E59" s="13">
        <v>45941</v>
      </c>
      <c r="F59" s="13">
        <v>45946</v>
      </c>
      <c r="G59" s="13">
        <v>45953</v>
      </c>
      <c r="H59" s="3" t="s">
        <v>13</v>
      </c>
      <c r="J59" s="4">
        <v>45968</v>
      </c>
      <c r="K59" s="3">
        <v>1</v>
      </c>
      <c r="L59" s="18">
        <f t="shared" si="1"/>
        <v>5</v>
      </c>
      <c r="M59">
        <f t="shared" si="2"/>
        <v>5</v>
      </c>
      <c r="N59">
        <f t="shared" si="3"/>
        <v>7</v>
      </c>
      <c r="O59" t="str">
        <f t="shared" si="4"/>
        <v>Detractor</v>
      </c>
    </row>
    <row r="60" spans="1:15" ht="14.25" customHeight="1" x14ac:dyDescent="0.3">
      <c r="A60" s="3" t="s">
        <v>78</v>
      </c>
      <c r="B60" s="3" t="s">
        <v>1021</v>
      </c>
      <c r="C60" s="3" t="s">
        <v>12</v>
      </c>
      <c r="D60" s="13">
        <v>45946</v>
      </c>
      <c r="E60" s="13">
        <v>45948</v>
      </c>
      <c r="F60" s="13">
        <v>45952</v>
      </c>
      <c r="G60" s="13">
        <v>45959</v>
      </c>
      <c r="H60" s="3" t="s">
        <v>17</v>
      </c>
      <c r="I60" s="3" t="s">
        <v>56</v>
      </c>
      <c r="L60" s="18">
        <f t="shared" si="1"/>
        <v>2</v>
      </c>
      <c r="M60">
        <f t="shared" si="2"/>
        <v>4</v>
      </c>
      <c r="N60">
        <f t="shared" si="3"/>
        <v>7</v>
      </c>
      <c r="O60" t="str">
        <f t="shared" si="4"/>
        <v>Detractor</v>
      </c>
    </row>
    <row r="61" spans="1:15" ht="14.25" customHeight="1" x14ac:dyDescent="0.3">
      <c r="A61" s="3" t="s">
        <v>79</v>
      </c>
      <c r="B61" s="3" t="s">
        <v>1021</v>
      </c>
      <c r="C61" s="3" t="s">
        <v>12</v>
      </c>
      <c r="D61" s="13">
        <v>45937</v>
      </c>
      <c r="E61" s="13">
        <v>45941</v>
      </c>
      <c r="F61" s="13">
        <v>45944</v>
      </c>
      <c r="G61" s="13">
        <v>45948</v>
      </c>
      <c r="H61" s="3" t="s">
        <v>13</v>
      </c>
      <c r="J61" s="4">
        <v>45975</v>
      </c>
      <c r="K61" s="3">
        <v>2</v>
      </c>
      <c r="L61" s="18">
        <f t="shared" si="1"/>
        <v>4</v>
      </c>
      <c r="M61">
        <f t="shared" si="2"/>
        <v>3</v>
      </c>
      <c r="N61">
        <f t="shared" si="3"/>
        <v>4</v>
      </c>
      <c r="O61" t="str">
        <f t="shared" si="4"/>
        <v>Detractor</v>
      </c>
    </row>
    <row r="62" spans="1:15" ht="14.25" customHeight="1" x14ac:dyDescent="0.3">
      <c r="A62" s="3" t="s">
        <v>80</v>
      </c>
      <c r="B62" s="3" t="s">
        <v>1022</v>
      </c>
      <c r="C62" s="3" t="s">
        <v>12</v>
      </c>
      <c r="D62" s="13">
        <v>45942</v>
      </c>
      <c r="E62" s="13">
        <v>45947</v>
      </c>
      <c r="F62" s="13">
        <v>45949</v>
      </c>
      <c r="G62" s="13">
        <v>45955</v>
      </c>
      <c r="H62" s="3" t="s">
        <v>13</v>
      </c>
      <c r="J62" s="4">
        <v>45984</v>
      </c>
      <c r="K62" s="3">
        <v>7</v>
      </c>
      <c r="L62" s="18">
        <f t="shared" si="1"/>
        <v>5</v>
      </c>
      <c r="M62">
        <f t="shared" si="2"/>
        <v>2</v>
      </c>
      <c r="N62">
        <f t="shared" si="3"/>
        <v>6</v>
      </c>
      <c r="O62" t="str">
        <f t="shared" si="4"/>
        <v>Passive</v>
      </c>
    </row>
    <row r="63" spans="1:15" ht="14.25" customHeight="1" x14ac:dyDescent="0.3">
      <c r="A63" s="3" t="s">
        <v>81</v>
      </c>
      <c r="B63" s="3" t="s">
        <v>1022</v>
      </c>
      <c r="C63" s="3" t="s">
        <v>24</v>
      </c>
      <c r="D63" s="13">
        <v>45956</v>
      </c>
      <c r="E63" s="13">
        <v>45961</v>
      </c>
      <c r="F63" s="13">
        <v>45965</v>
      </c>
      <c r="G63" s="13">
        <v>45971</v>
      </c>
      <c r="H63" s="3" t="s">
        <v>13</v>
      </c>
      <c r="J63" s="4">
        <v>45992</v>
      </c>
      <c r="K63" s="3">
        <v>9</v>
      </c>
      <c r="L63" s="18">
        <f t="shared" si="1"/>
        <v>5</v>
      </c>
      <c r="M63">
        <f t="shared" si="2"/>
        <v>4</v>
      </c>
      <c r="N63">
        <f t="shared" si="3"/>
        <v>6</v>
      </c>
      <c r="O63" t="str">
        <f t="shared" si="4"/>
        <v>Promoter</v>
      </c>
    </row>
    <row r="64" spans="1:15" ht="14.25" customHeight="1" x14ac:dyDescent="0.3">
      <c r="A64" s="3" t="s">
        <v>82</v>
      </c>
      <c r="B64" s="3" t="s">
        <v>1023</v>
      </c>
      <c r="C64" s="3" t="s">
        <v>12</v>
      </c>
      <c r="D64" s="13">
        <v>45939</v>
      </c>
      <c r="E64" s="13">
        <v>45944</v>
      </c>
      <c r="F64" s="13">
        <v>45949</v>
      </c>
      <c r="G64" s="13">
        <v>45951</v>
      </c>
      <c r="H64" s="3" t="s">
        <v>13</v>
      </c>
      <c r="J64" s="4">
        <v>45968</v>
      </c>
      <c r="K64" s="3">
        <v>3</v>
      </c>
      <c r="L64" s="18">
        <f t="shared" si="1"/>
        <v>5</v>
      </c>
      <c r="M64">
        <f t="shared" si="2"/>
        <v>5</v>
      </c>
      <c r="N64">
        <f t="shared" si="3"/>
        <v>2</v>
      </c>
      <c r="O64" t="str">
        <f t="shared" si="4"/>
        <v>Detractor</v>
      </c>
    </row>
    <row r="65" spans="1:15" ht="14.25" customHeight="1" x14ac:dyDescent="0.3">
      <c r="A65" s="3" t="s">
        <v>83</v>
      </c>
      <c r="B65" s="3" t="s">
        <v>1021</v>
      </c>
      <c r="C65" s="3" t="s">
        <v>24</v>
      </c>
      <c r="D65" s="13">
        <v>45941</v>
      </c>
      <c r="E65" s="13">
        <v>45946</v>
      </c>
      <c r="F65" s="13">
        <v>45949</v>
      </c>
      <c r="G65" s="13">
        <v>45956</v>
      </c>
      <c r="H65" s="3" t="s">
        <v>13</v>
      </c>
      <c r="J65" s="4">
        <v>45984</v>
      </c>
      <c r="K65" s="3">
        <v>3</v>
      </c>
      <c r="L65" s="18">
        <f t="shared" si="1"/>
        <v>5</v>
      </c>
      <c r="M65">
        <f t="shared" si="2"/>
        <v>3</v>
      </c>
      <c r="N65">
        <f t="shared" si="3"/>
        <v>7</v>
      </c>
      <c r="O65" t="str">
        <f t="shared" si="4"/>
        <v>Detractor</v>
      </c>
    </row>
    <row r="66" spans="1:15" ht="14.25" customHeight="1" x14ac:dyDescent="0.3">
      <c r="A66" s="3" t="s">
        <v>84</v>
      </c>
      <c r="B66" s="3" t="s">
        <v>1021</v>
      </c>
      <c r="C66" s="3" t="s">
        <v>16</v>
      </c>
      <c r="D66" s="13">
        <v>45939</v>
      </c>
      <c r="H66" s="3" t="s">
        <v>17</v>
      </c>
      <c r="I66" s="3" t="s">
        <v>18</v>
      </c>
      <c r="M66">
        <f t="shared" si="2"/>
        <v>0</v>
      </c>
      <c r="N66">
        <f t="shared" si="3"/>
        <v>0</v>
      </c>
      <c r="O66" t="str">
        <f t="shared" si="4"/>
        <v>Detractor</v>
      </c>
    </row>
    <row r="67" spans="1:15" ht="14.25" customHeight="1" x14ac:dyDescent="0.3">
      <c r="A67" s="3" t="s">
        <v>85</v>
      </c>
      <c r="B67" s="3" t="s">
        <v>1022</v>
      </c>
      <c r="C67" s="3" t="s">
        <v>12</v>
      </c>
      <c r="D67" s="13">
        <v>45959</v>
      </c>
      <c r="E67" s="13">
        <v>45960</v>
      </c>
      <c r="F67" s="13">
        <v>45965</v>
      </c>
      <c r="G67" s="13">
        <v>45968</v>
      </c>
      <c r="H67" s="3" t="s">
        <v>13</v>
      </c>
      <c r="J67" s="4">
        <v>45983</v>
      </c>
      <c r="K67" s="3">
        <v>10</v>
      </c>
      <c r="L67" s="18">
        <f t="shared" ref="L67:L130" si="5">E67-D67</f>
        <v>1</v>
      </c>
      <c r="M67">
        <f t="shared" ref="M67:M130" si="6">F67-E67</f>
        <v>5</v>
      </c>
      <c r="N67">
        <f t="shared" ref="N67:N130" si="7">G67-F67</f>
        <v>3</v>
      </c>
      <c r="O67" t="str">
        <f t="shared" ref="O67:O130" si="8">IF(K67&gt;=9,"Promoter",IF(K67&lt;=6,"Detractor","Passive"))</f>
        <v>Promoter</v>
      </c>
    </row>
    <row r="68" spans="1:15" ht="14.25" customHeight="1" x14ac:dyDescent="0.3">
      <c r="A68" s="3" t="s">
        <v>86</v>
      </c>
      <c r="B68" s="3" t="s">
        <v>1021</v>
      </c>
      <c r="C68" s="3" t="s">
        <v>12</v>
      </c>
      <c r="D68" s="13">
        <v>45950</v>
      </c>
      <c r="E68" s="13">
        <v>45955</v>
      </c>
      <c r="F68" s="13">
        <v>45958</v>
      </c>
      <c r="G68" s="13">
        <v>45962</v>
      </c>
      <c r="H68" s="3" t="s">
        <v>13</v>
      </c>
      <c r="J68" s="4">
        <v>45984</v>
      </c>
      <c r="K68" s="3">
        <v>4</v>
      </c>
      <c r="L68" s="18">
        <f t="shared" si="5"/>
        <v>5</v>
      </c>
      <c r="M68">
        <f t="shared" si="6"/>
        <v>3</v>
      </c>
      <c r="N68">
        <f t="shared" si="7"/>
        <v>4</v>
      </c>
      <c r="O68" t="str">
        <f t="shared" si="8"/>
        <v>Detractor</v>
      </c>
    </row>
    <row r="69" spans="1:15" ht="14.25" customHeight="1" x14ac:dyDescent="0.3">
      <c r="A69" s="3" t="s">
        <v>87</v>
      </c>
      <c r="B69" s="3" t="s">
        <v>1022</v>
      </c>
      <c r="C69" s="3" t="s">
        <v>24</v>
      </c>
      <c r="D69" s="13">
        <v>45953</v>
      </c>
      <c r="E69" s="13">
        <v>45956</v>
      </c>
      <c r="F69" s="13">
        <v>45959</v>
      </c>
      <c r="G69" s="13">
        <v>45961</v>
      </c>
      <c r="H69" s="3" t="s">
        <v>13</v>
      </c>
      <c r="J69" s="4">
        <v>45980</v>
      </c>
      <c r="K69" s="3">
        <v>5</v>
      </c>
      <c r="L69" s="18">
        <f t="shared" si="5"/>
        <v>3</v>
      </c>
      <c r="M69">
        <f t="shared" si="6"/>
        <v>3</v>
      </c>
      <c r="N69">
        <f t="shared" si="7"/>
        <v>2</v>
      </c>
      <c r="O69" t="str">
        <f t="shared" si="8"/>
        <v>Detractor</v>
      </c>
    </row>
    <row r="70" spans="1:15" ht="14.25" customHeight="1" x14ac:dyDescent="0.3">
      <c r="A70" s="3" t="s">
        <v>88</v>
      </c>
      <c r="B70" s="3" t="s">
        <v>1021</v>
      </c>
      <c r="C70" s="3" t="s">
        <v>16</v>
      </c>
      <c r="D70" s="13">
        <v>45959</v>
      </c>
      <c r="H70" s="3" t="s">
        <v>17</v>
      </c>
      <c r="I70" s="3" t="s">
        <v>56</v>
      </c>
      <c r="M70">
        <f t="shared" si="6"/>
        <v>0</v>
      </c>
      <c r="N70">
        <f t="shared" si="7"/>
        <v>0</v>
      </c>
      <c r="O70" t="str">
        <f t="shared" si="8"/>
        <v>Detractor</v>
      </c>
    </row>
    <row r="71" spans="1:15" ht="14.25" customHeight="1" x14ac:dyDescent="0.3">
      <c r="A71" s="3" t="s">
        <v>89</v>
      </c>
      <c r="B71" s="3" t="s">
        <v>1023</v>
      </c>
      <c r="C71" s="3" t="s">
        <v>24</v>
      </c>
      <c r="D71" s="13">
        <v>45939</v>
      </c>
      <c r="E71" s="13">
        <v>45940</v>
      </c>
      <c r="F71" s="13">
        <v>45945</v>
      </c>
      <c r="G71" s="13">
        <v>45948</v>
      </c>
      <c r="H71" s="3" t="s">
        <v>13</v>
      </c>
      <c r="J71" s="4">
        <v>45967</v>
      </c>
      <c r="K71" s="3">
        <v>1</v>
      </c>
      <c r="L71" s="18">
        <f t="shared" si="5"/>
        <v>1</v>
      </c>
      <c r="M71">
        <f t="shared" si="6"/>
        <v>5</v>
      </c>
      <c r="N71">
        <f t="shared" si="7"/>
        <v>3</v>
      </c>
      <c r="O71" t="str">
        <f t="shared" si="8"/>
        <v>Detractor</v>
      </c>
    </row>
    <row r="72" spans="1:15" ht="14.25" customHeight="1" x14ac:dyDescent="0.3">
      <c r="A72" s="3" t="s">
        <v>90</v>
      </c>
      <c r="B72" s="3" t="s">
        <v>1021</v>
      </c>
      <c r="C72" s="3" t="s">
        <v>24</v>
      </c>
      <c r="D72" s="13">
        <v>45948</v>
      </c>
      <c r="E72" s="13">
        <v>45950</v>
      </c>
      <c r="F72" s="13">
        <v>45954</v>
      </c>
      <c r="G72" s="13">
        <v>45958</v>
      </c>
      <c r="H72" s="3" t="s">
        <v>13</v>
      </c>
      <c r="J72" s="4">
        <v>45972</v>
      </c>
      <c r="K72" s="3">
        <v>10</v>
      </c>
      <c r="L72" s="18">
        <f t="shared" si="5"/>
        <v>2</v>
      </c>
      <c r="M72">
        <f t="shared" si="6"/>
        <v>4</v>
      </c>
      <c r="N72">
        <f t="shared" si="7"/>
        <v>4</v>
      </c>
      <c r="O72" t="str">
        <f t="shared" si="8"/>
        <v>Promoter</v>
      </c>
    </row>
    <row r="73" spans="1:15" ht="14.25" customHeight="1" x14ac:dyDescent="0.3">
      <c r="A73" s="3" t="s">
        <v>91</v>
      </c>
      <c r="B73" s="3" t="s">
        <v>1021</v>
      </c>
      <c r="C73" s="3" t="s">
        <v>12</v>
      </c>
      <c r="D73" s="13">
        <v>45931</v>
      </c>
      <c r="E73" s="13">
        <v>45934</v>
      </c>
      <c r="F73" s="13">
        <v>45936</v>
      </c>
      <c r="G73" s="13">
        <v>45938</v>
      </c>
      <c r="H73" s="3" t="s">
        <v>13</v>
      </c>
      <c r="J73" s="4">
        <v>45953</v>
      </c>
      <c r="K73" s="3">
        <v>7</v>
      </c>
      <c r="L73" s="18">
        <f t="shared" si="5"/>
        <v>3</v>
      </c>
      <c r="M73">
        <f t="shared" si="6"/>
        <v>2</v>
      </c>
      <c r="N73">
        <f t="shared" si="7"/>
        <v>2</v>
      </c>
      <c r="O73" t="str">
        <f t="shared" si="8"/>
        <v>Passive</v>
      </c>
    </row>
    <row r="74" spans="1:15" ht="14.25" customHeight="1" x14ac:dyDescent="0.3">
      <c r="A74" s="3" t="s">
        <v>92</v>
      </c>
      <c r="B74" s="3" t="s">
        <v>1024</v>
      </c>
      <c r="C74" s="3" t="s">
        <v>24</v>
      </c>
      <c r="D74" s="13">
        <v>45947</v>
      </c>
      <c r="E74" s="13">
        <v>45950</v>
      </c>
      <c r="F74" s="13">
        <v>45952</v>
      </c>
      <c r="G74" s="13">
        <v>45955</v>
      </c>
      <c r="H74" s="3" t="s">
        <v>13</v>
      </c>
      <c r="J74" s="4">
        <v>45965</v>
      </c>
      <c r="K74" s="3">
        <v>6</v>
      </c>
      <c r="L74" s="18">
        <f t="shared" si="5"/>
        <v>3</v>
      </c>
      <c r="M74">
        <f t="shared" si="6"/>
        <v>2</v>
      </c>
      <c r="N74">
        <f t="shared" si="7"/>
        <v>3</v>
      </c>
      <c r="O74" t="str">
        <f t="shared" si="8"/>
        <v>Detractor</v>
      </c>
    </row>
    <row r="75" spans="1:15" ht="14.25" customHeight="1" x14ac:dyDescent="0.3">
      <c r="A75" s="3" t="s">
        <v>93</v>
      </c>
      <c r="B75" s="3" t="s">
        <v>1022</v>
      </c>
      <c r="C75" s="3" t="s">
        <v>16</v>
      </c>
      <c r="D75" s="13">
        <v>45961</v>
      </c>
      <c r="H75" s="3" t="s">
        <v>17</v>
      </c>
      <c r="I75" s="3" t="s">
        <v>94</v>
      </c>
      <c r="M75">
        <f t="shared" si="6"/>
        <v>0</v>
      </c>
      <c r="N75">
        <f t="shared" si="7"/>
        <v>0</v>
      </c>
      <c r="O75" t="str">
        <f t="shared" si="8"/>
        <v>Detractor</v>
      </c>
    </row>
    <row r="76" spans="1:15" ht="14.25" customHeight="1" x14ac:dyDescent="0.3">
      <c r="A76" s="3" t="s">
        <v>95</v>
      </c>
      <c r="B76" s="3" t="s">
        <v>1021</v>
      </c>
      <c r="C76" s="3" t="s">
        <v>12</v>
      </c>
      <c r="D76" s="13">
        <v>45937</v>
      </c>
      <c r="E76" s="13">
        <v>45940</v>
      </c>
      <c r="F76" s="13">
        <v>45943</v>
      </c>
      <c r="G76" s="13">
        <v>45947</v>
      </c>
      <c r="H76" s="3" t="s">
        <v>13</v>
      </c>
      <c r="J76" s="4">
        <v>45975</v>
      </c>
      <c r="K76" s="3">
        <v>0</v>
      </c>
      <c r="L76" s="18">
        <f t="shared" si="5"/>
        <v>3</v>
      </c>
      <c r="M76">
        <f t="shared" si="6"/>
        <v>3</v>
      </c>
      <c r="N76">
        <f t="shared" si="7"/>
        <v>4</v>
      </c>
      <c r="O76" t="str">
        <f t="shared" si="8"/>
        <v>Detractor</v>
      </c>
    </row>
    <row r="77" spans="1:15" ht="14.25" customHeight="1" x14ac:dyDescent="0.3">
      <c r="A77" s="3" t="s">
        <v>96</v>
      </c>
      <c r="B77" s="3" t="s">
        <v>1021</v>
      </c>
      <c r="C77" s="3" t="s">
        <v>24</v>
      </c>
      <c r="D77" s="13">
        <v>45933</v>
      </c>
      <c r="E77" s="13">
        <v>45936</v>
      </c>
      <c r="F77" s="13">
        <v>45941</v>
      </c>
      <c r="G77" s="13">
        <v>45948</v>
      </c>
      <c r="H77" s="3" t="s">
        <v>13</v>
      </c>
      <c r="J77" s="4">
        <v>45970</v>
      </c>
      <c r="K77" s="3">
        <v>1</v>
      </c>
      <c r="L77" s="18">
        <f t="shared" si="5"/>
        <v>3</v>
      </c>
      <c r="M77">
        <f t="shared" si="6"/>
        <v>5</v>
      </c>
      <c r="N77">
        <f t="shared" si="7"/>
        <v>7</v>
      </c>
      <c r="O77" t="str">
        <f t="shared" si="8"/>
        <v>Detractor</v>
      </c>
    </row>
    <row r="78" spans="1:15" ht="14.25" customHeight="1" x14ac:dyDescent="0.3">
      <c r="A78" s="3" t="s">
        <v>97</v>
      </c>
      <c r="B78" s="3" t="s">
        <v>1024</v>
      </c>
      <c r="C78" s="3" t="s">
        <v>12</v>
      </c>
      <c r="D78" s="13">
        <v>45938</v>
      </c>
      <c r="E78" s="13">
        <v>45939</v>
      </c>
      <c r="F78" s="13">
        <v>45942</v>
      </c>
      <c r="G78" s="13">
        <v>45945</v>
      </c>
      <c r="H78" s="3" t="s">
        <v>13</v>
      </c>
      <c r="J78" s="4">
        <v>45973</v>
      </c>
      <c r="K78" s="3">
        <v>8</v>
      </c>
      <c r="L78" s="18">
        <f t="shared" si="5"/>
        <v>1</v>
      </c>
      <c r="M78">
        <f t="shared" si="6"/>
        <v>3</v>
      </c>
      <c r="N78">
        <f t="shared" si="7"/>
        <v>3</v>
      </c>
      <c r="O78" t="str">
        <f t="shared" si="8"/>
        <v>Passive</v>
      </c>
    </row>
    <row r="79" spans="1:15" ht="14.25" customHeight="1" x14ac:dyDescent="0.3">
      <c r="A79" s="3" t="s">
        <v>98</v>
      </c>
      <c r="B79" s="3" t="s">
        <v>1024</v>
      </c>
      <c r="C79" s="3" t="s">
        <v>16</v>
      </c>
      <c r="D79" s="13">
        <v>45954</v>
      </c>
      <c r="H79" s="3" t="s">
        <v>17</v>
      </c>
      <c r="I79" s="3" t="s">
        <v>18</v>
      </c>
      <c r="M79">
        <f t="shared" si="6"/>
        <v>0</v>
      </c>
      <c r="N79">
        <f t="shared" si="7"/>
        <v>0</v>
      </c>
      <c r="O79" t="str">
        <f t="shared" si="8"/>
        <v>Detractor</v>
      </c>
    </row>
    <row r="80" spans="1:15" ht="14.25" customHeight="1" x14ac:dyDescent="0.3">
      <c r="A80" s="3" t="s">
        <v>99</v>
      </c>
      <c r="B80" s="3" t="s">
        <v>1022</v>
      </c>
      <c r="C80" s="3" t="s">
        <v>16</v>
      </c>
      <c r="D80" s="13">
        <v>45944</v>
      </c>
      <c r="H80" s="3" t="s">
        <v>17</v>
      </c>
      <c r="I80" s="3" t="s">
        <v>56</v>
      </c>
      <c r="M80">
        <f t="shared" si="6"/>
        <v>0</v>
      </c>
      <c r="N80">
        <f t="shared" si="7"/>
        <v>0</v>
      </c>
      <c r="O80" t="str">
        <f t="shared" si="8"/>
        <v>Detractor</v>
      </c>
    </row>
    <row r="81" spans="1:15" ht="14.25" customHeight="1" x14ac:dyDescent="0.3">
      <c r="A81" s="3" t="s">
        <v>100</v>
      </c>
      <c r="B81" s="3" t="s">
        <v>1024</v>
      </c>
      <c r="C81" s="3" t="s">
        <v>12</v>
      </c>
      <c r="D81" s="13">
        <v>45946</v>
      </c>
      <c r="E81" s="13">
        <v>45948</v>
      </c>
      <c r="F81" s="13">
        <v>45950</v>
      </c>
      <c r="G81" s="13">
        <v>45956</v>
      </c>
      <c r="H81" s="3" t="s">
        <v>17</v>
      </c>
      <c r="I81" s="3" t="s">
        <v>26</v>
      </c>
      <c r="L81" s="18">
        <f t="shared" si="5"/>
        <v>2</v>
      </c>
      <c r="M81">
        <f t="shared" si="6"/>
        <v>2</v>
      </c>
      <c r="N81">
        <f t="shared" si="7"/>
        <v>6</v>
      </c>
      <c r="O81" t="str">
        <f t="shared" si="8"/>
        <v>Detractor</v>
      </c>
    </row>
    <row r="82" spans="1:15" ht="14.25" customHeight="1" x14ac:dyDescent="0.3">
      <c r="A82" s="3" t="s">
        <v>101</v>
      </c>
      <c r="B82" s="3" t="s">
        <v>1023</v>
      </c>
      <c r="C82" s="3" t="s">
        <v>16</v>
      </c>
      <c r="D82" s="13">
        <v>45948</v>
      </c>
      <c r="H82" s="3" t="s">
        <v>17</v>
      </c>
      <c r="I82" s="3" t="s">
        <v>18</v>
      </c>
      <c r="M82">
        <f t="shared" si="6"/>
        <v>0</v>
      </c>
      <c r="N82">
        <f t="shared" si="7"/>
        <v>0</v>
      </c>
      <c r="O82" t="str">
        <f t="shared" si="8"/>
        <v>Detractor</v>
      </c>
    </row>
    <row r="83" spans="1:15" ht="14.25" customHeight="1" x14ac:dyDescent="0.3">
      <c r="A83" s="3" t="s">
        <v>102</v>
      </c>
      <c r="B83" s="3" t="s">
        <v>1024</v>
      </c>
      <c r="C83" s="3" t="s">
        <v>16</v>
      </c>
      <c r="D83" s="13">
        <v>45955</v>
      </c>
      <c r="H83" s="3" t="s">
        <v>17</v>
      </c>
      <c r="I83" s="3" t="s">
        <v>18</v>
      </c>
      <c r="M83">
        <f t="shared" si="6"/>
        <v>0</v>
      </c>
      <c r="N83">
        <f t="shared" si="7"/>
        <v>0</v>
      </c>
      <c r="O83" t="str">
        <f t="shared" si="8"/>
        <v>Detractor</v>
      </c>
    </row>
    <row r="84" spans="1:15" ht="14.25" customHeight="1" x14ac:dyDescent="0.3">
      <c r="A84" s="3" t="s">
        <v>103</v>
      </c>
      <c r="B84" s="3" t="s">
        <v>1023</v>
      </c>
      <c r="C84" s="3" t="s">
        <v>12</v>
      </c>
      <c r="D84" s="13">
        <v>45938</v>
      </c>
      <c r="E84" s="13">
        <v>45940</v>
      </c>
      <c r="F84" s="13">
        <v>45943</v>
      </c>
      <c r="G84" s="13">
        <v>45948</v>
      </c>
      <c r="H84" s="3" t="s">
        <v>13</v>
      </c>
      <c r="J84" s="4">
        <v>45959</v>
      </c>
      <c r="K84" s="3">
        <v>5</v>
      </c>
      <c r="L84" s="18">
        <f t="shared" si="5"/>
        <v>2</v>
      </c>
      <c r="M84">
        <f t="shared" si="6"/>
        <v>3</v>
      </c>
      <c r="N84">
        <f t="shared" si="7"/>
        <v>5</v>
      </c>
      <c r="O84" t="str">
        <f t="shared" si="8"/>
        <v>Detractor</v>
      </c>
    </row>
    <row r="85" spans="1:15" ht="14.25" customHeight="1" x14ac:dyDescent="0.3">
      <c r="A85" s="3" t="s">
        <v>104</v>
      </c>
      <c r="B85" s="3" t="s">
        <v>1022</v>
      </c>
      <c r="C85" s="3" t="s">
        <v>24</v>
      </c>
      <c r="D85" s="13">
        <v>45953</v>
      </c>
      <c r="E85" s="13">
        <v>45958</v>
      </c>
      <c r="F85" s="13">
        <v>45961</v>
      </c>
      <c r="G85" s="13">
        <v>45966</v>
      </c>
      <c r="H85" s="3" t="s">
        <v>13</v>
      </c>
      <c r="J85" s="4">
        <v>45981</v>
      </c>
      <c r="K85" s="3">
        <v>5</v>
      </c>
      <c r="L85" s="18">
        <f t="shared" si="5"/>
        <v>5</v>
      </c>
      <c r="M85">
        <f t="shared" si="6"/>
        <v>3</v>
      </c>
      <c r="N85">
        <f t="shared" si="7"/>
        <v>5</v>
      </c>
      <c r="O85" t="str">
        <f t="shared" si="8"/>
        <v>Detractor</v>
      </c>
    </row>
    <row r="86" spans="1:15" ht="14.25" customHeight="1" x14ac:dyDescent="0.3">
      <c r="A86" s="3" t="s">
        <v>105</v>
      </c>
      <c r="B86" s="3" t="s">
        <v>1022</v>
      </c>
      <c r="C86" s="3" t="s">
        <v>12</v>
      </c>
      <c r="D86" s="13">
        <v>45946</v>
      </c>
      <c r="E86" s="13">
        <v>45950</v>
      </c>
      <c r="F86" s="13">
        <v>45952</v>
      </c>
      <c r="G86" s="13">
        <v>45958</v>
      </c>
      <c r="H86" s="3" t="s">
        <v>13</v>
      </c>
      <c r="J86" s="4">
        <v>45987</v>
      </c>
      <c r="K86" s="3">
        <v>4</v>
      </c>
      <c r="L86" s="18">
        <f t="shared" si="5"/>
        <v>4</v>
      </c>
      <c r="M86">
        <f t="shared" si="6"/>
        <v>2</v>
      </c>
      <c r="N86">
        <f t="shared" si="7"/>
        <v>6</v>
      </c>
      <c r="O86" t="str">
        <f t="shared" si="8"/>
        <v>Detractor</v>
      </c>
    </row>
    <row r="87" spans="1:15" ht="14.25" customHeight="1" x14ac:dyDescent="0.3">
      <c r="A87" s="3" t="s">
        <v>106</v>
      </c>
      <c r="B87" s="3" t="s">
        <v>1022</v>
      </c>
      <c r="C87" s="3" t="s">
        <v>16</v>
      </c>
      <c r="D87" s="13">
        <v>45951</v>
      </c>
      <c r="H87" s="3" t="s">
        <v>17</v>
      </c>
      <c r="I87" s="3" t="s">
        <v>20</v>
      </c>
      <c r="M87">
        <f t="shared" si="6"/>
        <v>0</v>
      </c>
      <c r="N87">
        <f t="shared" si="7"/>
        <v>0</v>
      </c>
      <c r="O87" t="str">
        <f t="shared" si="8"/>
        <v>Detractor</v>
      </c>
    </row>
    <row r="88" spans="1:15" ht="14.25" customHeight="1" x14ac:dyDescent="0.3">
      <c r="A88" s="3" t="s">
        <v>107</v>
      </c>
      <c r="B88" s="3" t="s">
        <v>1022</v>
      </c>
      <c r="C88" s="3" t="s">
        <v>24</v>
      </c>
      <c r="D88" s="13">
        <v>45953</v>
      </c>
      <c r="E88" s="13">
        <v>45954</v>
      </c>
      <c r="F88" s="13">
        <v>45958</v>
      </c>
      <c r="G88" s="13">
        <v>45961</v>
      </c>
      <c r="H88" s="3" t="s">
        <v>13</v>
      </c>
      <c r="J88" s="4">
        <v>45981</v>
      </c>
      <c r="K88" s="3">
        <v>7</v>
      </c>
      <c r="L88" s="18">
        <f t="shared" si="5"/>
        <v>1</v>
      </c>
      <c r="M88">
        <f t="shared" si="6"/>
        <v>4</v>
      </c>
      <c r="N88">
        <f t="shared" si="7"/>
        <v>3</v>
      </c>
      <c r="O88" t="str">
        <f t="shared" si="8"/>
        <v>Passive</v>
      </c>
    </row>
    <row r="89" spans="1:15" ht="14.25" customHeight="1" x14ac:dyDescent="0.3">
      <c r="A89" s="3" t="s">
        <v>108</v>
      </c>
      <c r="B89" s="3" t="s">
        <v>1022</v>
      </c>
      <c r="C89" s="3" t="s">
        <v>16</v>
      </c>
      <c r="D89" s="13">
        <v>45946</v>
      </c>
      <c r="H89" s="3" t="s">
        <v>17</v>
      </c>
      <c r="I89" s="3" t="s">
        <v>26</v>
      </c>
      <c r="M89">
        <f t="shared" si="6"/>
        <v>0</v>
      </c>
      <c r="N89">
        <f t="shared" si="7"/>
        <v>0</v>
      </c>
      <c r="O89" t="str">
        <f t="shared" si="8"/>
        <v>Detractor</v>
      </c>
    </row>
    <row r="90" spans="1:15" ht="14.25" customHeight="1" x14ac:dyDescent="0.3">
      <c r="A90" s="3" t="s">
        <v>109</v>
      </c>
      <c r="B90" s="3" t="s">
        <v>1023</v>
      </c>
      <c r="C90" s="3" t="s">
        <v>24</v>
      </c>
      <c r="D90" s="13">
        <v>45945</v>
      </c>
      <c r="E90" s="13">
        <v>45947</v>
      </c>
      <c r="F90" s="13">
        <v>45950</v>
      </c>
      <c r="G90" s="13">
        <v>45956</v>
      </c>
      <c r="H90" s="3" t="s">
        <v>13</v>
      </c>
      <c r="J90" s="4">
        <v>45985</v>
      </c>
      <c r="K90" s="3">
        <v>5</v>
      </c>
      <c r="L90" s="18">
        <f t="shared" si="5"/>
        <v>2</v>
      </c>
      <c r="M90">
        <f t="shared" si="6"/>
        <v>3</v>
      </c>
      <c r="N90">
        <f t="shared" si="7"/>
        <v>6</v>
      </c>
      <c r="O90" t="str">
        <f t="shared" si="8"/>
        <v>Detractor</v>
      </c>
    </row>
    <row r="91" spans="1:15" ht="14.25" customHeight="1" x14ac:dyDescent="0.3">
      <c r="A91" s="3" t="s">
        <v>110</v>
      </c>
      <c r="B91" s="3" t="s">
        <v>1023</v>
      </c>
      <c r="C91" s="3" t="s">
        <v>24</v>
      </c>
      <c r="D91" s="13">
        <v>45956</v>
      </c>
      <c r="E91" s="13">
        <v>45957</v>
      </c>
      <c r="F91" s="13">
        <v>45961</v>
      </c>
      <c r="G91" s="13">
        <v>45966</v>
      </c>
      <c r="H91" s="3" t="s">
        <v>13</v>
      </c>
      <c r="J91" s="4">
        <v>45983</v>
      </c>
      <c r="K91" s="3">
        <v>8</v>
      </c>
      <c r="L91" s="18">
        <f t="shared" si="5"/>
        <v>1</v>
      </c>
      <c r="M91">
        <f t="shared" si="6"/>
        <v>4</v>
      </c>
      <c r="N91">
        <f t="shared" si="7"/>
        <v>5</v>
      </c>
      <c r="O91" t="str">
        <f t="shared" si="8"/>
        <v>Passive</v>
      </c>
    </row>
    <row r="92" spans="1:15" ht="14.25" customHeight="1" x14ac:dyDescent="0.3">
      <c r="A92" s="3" t="s">
        <v>111</v>
      </c>
      <c r="B92" s="3" t="s">
        <v>1022</v>
      </c>
      <c r="C92" s="3" t="s">
        <v>12</v>
      </c>
      <c r="D92" s="13">
        <v>45931</v>
      </c>
      <c r="E92" s="13">
        <v>45932</v>
      </c>
      <c r="F92" s="13">
        <v>45935</v>
      </c>
      <c r="G92" s="13">
        <v>45940</v>
      </c>
      <c r="H92" s="3" t="s">
        <v>13</v>
      </c>
      <c r="J92" s="4">
        <v>45970</v>
      </c>
      <c r="K92" s="3">
        <v>0</v>
      </c>
      <c r="L92" s="18">
        <f t="shared" si="5"/>
        <v>1</v>
      </c>
      <c r="M92">
        <f t="shared" si="6"/>
        <v>3</v>
      </c>
      <c r="N92">
        <f t="shared" si="7"/>
        <v>5</v>
      </c>
      <c r="O92" t="str">
        <f t="shared" si="8"/>
        <v>Detractor</v>
      </c>
    </row>
    <row r="93" spans="1:15" ht="14.25" customHeight="1" x14ac:dyDescent="0.3">
      <c r="A93" s="3" t="s">
        <v>112</v>
      </c>
      <c r="B93" s="3" t="s">
        <v>1024</v>
      </c>
      <c r="C93" s="3" t="s">
        <v>24</v>
      </c>
      <c r="D93" s="13">
        <v>45933</v>
      </c>
      <c r="E93" s="13">
        <v>45938</v>
      </c>
      <c r="F93" s="13">
        <v>45943</v>
      </c>
      <c r="G93" s="13">
        <v>45946</v>
      </c>
      <c r="H93" s="3" t="s">
        <v>13</v>
      </c>
      <c r="J93" s="4">
        <v>45974</v>
      </c>
      <c r="K93" s="3">
        <v>9</v>
      </c>
      <c r="L93" s="18">
        <f t="shared" si="5"/>
        <v>5</v>
      </c>
      <c r="M93">
        <f t="shared" si="6"/>
        <v>5</v>
      </c>
      <c r="N93">
        <f t="shared" si="7"/>
        <v>3</v>
      </c>
      <c r="O93" t="str">
        <f t="shared" si="8"/>
        <v>Promoter</v>
      </c>
    </row>
    <row r="94" spans="1:15" ht="14.25" customHeight="1" x14ac:dyDescent="0.3">
      <c r="A94" s="3" t="s">
        <v>113</v>
      </c>
      <c r="B94" s="3" t="s">
        <v>1021</v>
      </c>
      <c r="C94" s="3" t="s">
        <v>16</v>
      </c>
      <c r="D94" s="13">
        <v>45940</v>
      </c>
      <c r="H94" s="3" t="s">
        <v>17</v>
      </c>
      <c r="I94" s="3" t="s">
        <v>94</v>
      </c>
      <c r="M94">
        <f t="shared" si="6"/>
        <v>0</v>
      </c>
      <c r="N94">
        <f t="shared" si="7"/>
        <v>0</v>
      </c>
      <c r="O94" t="str">
        <f t="shared" si="8"/>
        <v>Detractor</v>
      </c>
    </row>
    <row r="95" spans="1:15" ht="14.25" customHeight="1" x14ac:dyDescent="0.3">
      <c r="A95" s="3" t="s">
        <v>114</v>
      </c>
      <c r="B95" s="3" t="s">
        <v>1022</v>
      </c>
      <c r="C95" s="3" t="s">
        <v>16</v>
      </c>
      <c r="D95" s="13">
        <v>45938</v>
      </c>
      <c r="H95" s="3" t="s">
        <v>17</v>
      </c>
      <c r="I95" s="3" t="s">
        <v>56</v>
      </c>
      <c r="M95">
        <f t="shared" si="6"/>
        <v>0</v>
      </c>
      <c r="N95">
        <f t="shared" si="7"/>
        <v>0</v>
      </c>
      <c r="O95" t="str">
        <f t="shared" si="8"/>
        <v>Detractor</v>
      </c>
    </row>
    <row r="96" spans="1:15" ht="14.25" customHeight="1" x14ac:dyDescent="0.3">
      <c r="A96" s="3" t="s">
        <v>115</v>
      </c>
      <c r="B96" s="3" t="s">
        <v>1024</v>
      </c>
      <c r="C96" s="3" t="s">
        <v>16</v>
      </c>
      <c r="D96" s="13">
        <v>45943</v>
      </c>
      <c r="H96" s="3" t="s">
        <v>17</v>
      </c>
      <c r="I96" s="3" t="s">
        <v>20</v>
      </c>
      <c r="M96">
        <f t="shared" si="6"/>
        <v>0</v>
      </c>
      <c r="N96">
        <f t="shared" si="7"/>
        <v>0</v>
      </c>
      <c r="O96" t="str">
        <f t="shared" si="8"/>
        <v>Detractor</v>
      </c>
    </row>
    <row r="97" spans="1:15" ht="14.25" customHeight="1" x14ac:dyDescent="0.3">
      <c r="A97" s="3" t="s">
        <v>116</v>
      </c>
      <c r="B97" s="3" t="s">
        <v>1021</v>
      </c>
      <c r="C97" s="3" t="s">
        <v>12</v>
      </c>
      <c r="D97" s="13">
        <v>45953</v>
      </c>
      <c r="E97" s="13">
        <v>45955</v>
      </c>
      <c r="F97" s="13">
        <v>45958</v>
      </c>
      <c r="G97" s="13">
        <v>45963</v>
      </c>
      <c r="H97" s="3" t="s">
        <v>13</v>
      </c>
      <c r="J97" s="4">
        <v>45976</v>
      </c>
      <c r="K97" s="3">
        <v>9</v>
      </c>
      <c r="L97" s="18">
        <f t="shared" si="5"/>
        <v>2</v>
      </c>
      <c r="M97">
        <f t="shared" si="6"/>
        <v>3</v>
      </c>
      <c r="N97">
        <f t="shared" si="7"/>
        <v>5</v>
      </c>
      <c r="O97" t="str">
        <f t="shared" si="8"/>
        <v>Promoter</v>
      </c>
    </row>
    <row r="98" spans="1:15" ht="14.25" customHeight="1" x14ac:dyDescent="0.3">
      <c r="A98" s="3" t="s">
        <v>117</v>
      </c>
      <c r="B98" s="3" t="s">
        <v>1022</v>
      </c>
      <c r="C98" s="3" t="s">
        <v>24</v>
      </c>
      <c r="D98" s="13">
        <v>45938</v>
      </c>
      <c r="E98" s="13">
        <v>45942</v>
      </c>
      <c r="F98" s="13">
        <v>45945</v>
      </c>
      <c r="G98" s="13">
        <v>45952</v>
      </c>
      <c r="H98" s="3" t="s">
        <v>17</v>
      </c>
      <c r="I98" s="3" t="s">
        <v>56</v>
      </c>
      <c r="L98" s="18">
        <f t="shared" si="5"/>
        <v>4</v>
      </c>
      <c r="M98">
        <f t="shared" si="6"/>
        <v>3</v>
      </c>
      <c r="N98">
        <f t="shared" si="7"/>
        <v>7</v>
      </c>
      <c r="O98" t="str">
        <f t="shared" si="8"/>
        <v>Detractor</v>
      </c>
    </row>
    <row r="99" spans="1:15" ht="14.25" customHeight="1" x14ac:dyDescent="0.3">
      <c r="A99" s="3" t="s">
        <v>118</v>
      </c>
      <c r="B99" s="3" t="s">
        <v>1022</v>
      </c>
      <c r="C99" s="3" t="s">
        <v>12</v>
      </c>
      <c r="D99" s="13">
        <v>45940</v>
      </c>
      <c r="E99" s="13">
        <v>45944</v>
      </c>
      <c r="F99" s="13">
        <v>45945</v>
      </c>
      <c r="G99" s="13">
        <v>45951</v>
      </c>
      <c r="H99" s="3" t="s">
        <v>13</v>
      </c>
      <c r="J99" s="4">
        <v>45976</v>
      </c>
      <c r="K99" s="3">
        <v>6</v>
      </c>
      <c r="L99" s="18">
        <f t="shared" si="5"/>
        <v>4</v>
      </c>
      <c r="M99">
        <f t="shared" si="6"/>
        <v>1</v>
      </c>
      <c r="N99">
        <f t="shared" si="7"/>
        <v>6</v>
      </c>
      <c r="O99" t="str">
        <f t="shared" si="8"/>
        <v>Detractor</v>
      </c>
    </row>
    <row r="100" spans="1:15" ht="14.25" customHeight="1" x14ac:dyDescent="0.3">
      <c r="A100" s="3" t="s">
        <v>119</v>
      </c>
      <c r="B100" s="3" t="s">
        <v>1023</v>
      </c>
      <c r="C100" s="3" t="s">
        <v>12</v>
      </c>
      <c r="D100" s="13">
        <v>45952</v>
      </c>
      <c r="E100" s="13">
        <v>45956</v>
      </c>
      <c r="F100" s="13">
        <v>45961</v>
      </c>
      <c r="G100" s="13">
        <v>45968</v>
      </c>
      <c r="H100" s="3" t="s">
        <v>13</v>
      </c>
      <c r="J100" s="4">
        <v>45982</v>
      </c>
      <c r="K100" s="3">
        <v>0</v>
      </c>
      <c r="L100" s="18">
        <f t="shared" si="5"/>
        <v>4</v>
      </c>
      <c r="M100">
        <f t="shared" si="6"/>
        <v>5</v>
      </c>
      <c r="N100">
        <f t="shared" si="7"/>
        <v>7</v>
      </c>
      <c r="O100" t="str">
        <f t="shared" si="8"/>
        <v>Detractor</v>
      </c>
    </row>
    <row r="101" spans="1:15" ht="14.25" customHeight="1" x14ac:dyDescent="0.3">
      <c r="A101" s="3" t="s">
        <v>120</v>
      </c>
      <c r="B101" s="3" t="s">
        <v>1021</v>
      </c>
      <c r="C101" s="3" t="s">
        <v>12</v>
      </c>
      <c r="D101" s="13">
        <v>45949</v>
      </c>
      <c r="E101" s="13">
        <v>45952</v>
      </c>
      <c r="F101" s="13">
        <v>45957</v>
      </c>
      <c r="G101" s="13">
        <v>45964</v>
      </c>
      <c r="H101" s="3" t="s">
        <v>13</v>
      </c>
      <c r="J101" s="4">
        <v>45984</v>
      </c>
      <c r="K101" s="3">
        <v>10</v>
      </c>
      <c r="L101" s="18">
        <f t="shared" si="5"/>
        <v>3</v>
      </c>
      <c r="M101">
        <f t="shared" si="6"/>
        <v>5</v>
      </c>
      <c r="N101">
        <f t="shared" si="7"/>
        <v>7</v>
      </c>
      <c r="O101" t="str">
        <f t="shared" si="8"/>
        <v>Promoter</v>
      </c>
    </row>
    <row r="102" spans="1:15" ht="14.25" customHeight="1" x14ac:dyDescent="0.3">
      <c r="A102" s="3" t="s">
        <v>121</v>
      </c>
      <c r="B102" s="3" t="s">
        <v>1021</v>
      </c>
      <c r="C102" s="3" t="s">
        <v>24</v>
      </c>
      <c r="D102" s="13">
        <v>45942</v>
      </c>
      <c r="E102" s="13">
        <v>45944</v>
      </c>
      <c r="F102" s="13">
        <v>45948</v>
      </c>
      <c r="G102" s="13">
        <v>45951</v>
      </c>
      <c r="H102" s="3" t="s">
        <v>13</v>
      </c>
      <c r="J102" s="4">
        <v>45963</v>
      </c>
      <c r="K102" s="3">
        <v>1</v>
      </c>
      <c r="L102" s="18">
        <f t="shared" si="5"/>
        <v>2</v>
      </c>
      <c r="M102">
        <f t="shared" si="6"/>
        <v>4</v>
      </c>
      <c r="N102">
        <f t="shared" si="7"/>
        <v>3</v>
      </c>
      <c r="O102" t="str">
        <f t="shared" si="8"/>
        <v>Detractor</v>
      </c>
    </row>
    <row r="103" spans="1:15" ht="14.25" customHeight="1" x14ac:dyDescent="0.3">
      <c r="A103" s="3" t="s">
        <v>122</v>
      </c>
      <c r="B103" s="3" t="s">
        <v>1024</v>
      </c>
      <c r="C103" s="3" t="s">
        <v>12</v>
      </c>
      <c r="D103" s="13">
        <v>45946</v>
      </c>
      <c r="E103" s="13">
        <v>45949</v>
      </c>
      <c r="F103" s="13">
        <v>45953</v>
      </c>
      <c r="G103" s="13">
        <v>45959</v>
      </c>
      <c r="H103" s="3" t="s">
        <v>13</v>
      </c>
      <c r="J103" s="4">
        <v>45976</v>
      </c>
      <c r="K103" s="3">
        <v>1</v>
      </c>
      <c r="L103" s="18">
        <f t="shared" si="5"/>
        <v>3</v>
      </c>
      <c r="M103">
        <f t="shared" si="6"/>
        <v>4</v>
      </c>
      <c r="N103">
        <f t="shared" si="7"/>
        <v>6</v>
      </c>
      <c r="O103" t="str">
        <f t="shared" si="8"/>
        <v>Detractor</v>
      </c>
    </row>
    <row r="104" spans="1:15" ht="14.25" customHeight="1" x14ac:dyDescent="0.3">
      <c r="A104" s="3" t="s">
        <v>123</v>
      </c>
      <c r="B104" s="3" t="s">
        <v>1023</v>
      </c>
      <c r="C104" s="3" t="s">
        <v>12</v>
      </c>
      <c r="D104" s="13">
        <v>45948</v>
      </c>
      <c r="E104" s="13">
        <v>45951</v>
      </c>
      <c r="F104" s="13">
        <v>45954</v>
      </c>
      <c r="G104" s="13">
        <v>45957</v>
      </c>
      <c r="H104" s="3" t="s">
        <v>13</v>
      </c>
      <c r="J104" s="4">
        <v>45978</v>
      </c>
      <c r="K104" s="3">
        <v>0</v>
      </c>
      <c r="L104" s="18">
        <f t="shared" si="5"/>
        <v>3</v>
      </c>
      <c r="M104">
        <f t="shared" si="6"/>
        <v>3</v>
      </c>
      <c r="N104">
        <f t="shared" si="7"/>
        <v>3</v>
      </c>
      <c r="O104" t="str">
        <f t="shared" si="8"/>
        <v>Detractor</v>
      </c>
    </row>
    <row r="105" spans="1:15" ht="14.25" customHeight="1" x14ac:dyDescent="0.3">
      <c r="A105" s="3" t="s">
        <v>124</v>
      </c>
      <c r="B105" s="3" t="s">
        <v>1023</v>
      </c>
      <c r="C105" s="3" t="s">
        <v>16</v>
      </c>
      <c r="D105" s="13">
        <v>45947</v>
      </c>
      <c r="H105" s="3" t="s">
        <v>17</v>
      </c>
      <c r="I105" s="3" t="s">
        <v>94</v>
      </c>
      <c r="M105">
        <f t="shared" si="6"/>
        <v>0</v>
      </c>
      <c r="N105">
        <f t="shared" si="7"/>
        <v>0</v>
      </c>
      <c r="O105" t="str">
        <f t="shared" si="8"/>
        <v>Detractor</v>
      </c>
    </row>
    <row r="106" spans="1:15" ht="14.25" customHeight="1" x14ac:dyDescent="0.3">
      <c r="A106" s="3" t="s">
        <v>125</v>
      </c>
      <c r="B106" s="3" t="s">
        <v>1023</v>
      </c>
      <c r="C106" s="3" t="s">
        <v>16</v>
      </c>
      <c r="D106" s="13">
        <v>45942</v>
      </c>
      <c r="H106" s="3" t="s">
        <v>17</v>
      </c>
      <c r="I106" s="3" t="s">
        <v>94</v>
      </c>
      <c r="M106">
        <f t="shared" si="6"/>
        <v>0</v>
      </c>
      <c r="N106">
        <f t="shared" si="7"/>
        <v>0</v>
      </c>
      <c r="O106" t="str">
        <f t="shared" si="8"/>
        <v>Detractor</v>
      </c>
    </row>
    <row r="107" spans="1:15" ht="14.25" customHeight="1" x14ac:dyDescent="0.3">
      <c r="A107" s="3" t="s">
        <v>126</v>
      </c>
      <c r="B107" s="3" t="s">
        <v>1023</v>
      </c>
      <c r="C107" s="3" t="s">
        <v>12</v>
      </c>
      <c r="D107" s="13">
        <v>45944</v>
      </c>
      <c r="E107" s="13">
        <v>45947</v>
      </c>
      <c r="F107" s="13">
        <v>45949</v>
      </c>
      <c r="G107" s="13">
        <v>45954</v>
      </c>
      <c r="H107" s="3" t="s">
        <v>13</v>
      </c>
      <c r="J107" s="4">
        <v>45974</v>
      </c>
      <c r="K107" s="3">
        <v>2</v>
      </c>
      <c r="L107" s="18">
        <f t="shared" si="5"/>
        <v>3</v>
      </c>
      <c r="M107">
        <f t="shared" si="6"/>
        <v>2</v>
      </c>
      <c r="N107">
        <f t="shared" si="7"/>
        <v>5</v>
      </c>
      <c r="O107" t="str">
        <f t="shared" si="8"/>
        <v>Detractor</v>
      </c>
    </row>
    <row r="108" spans="1:15" ht="14.25" customHeight="1" x14ac:dyDescent="0.3">
      <c r="A108" s="3" t="s">
        <v>127</v>
      </c>
      <c r="B108" s="3" t="s">
        <v>1021</v>
      </c>
      <c r="C108" s="3" t="s">
        <v>12</v>
      </c>
      <c r="D108" s="13">
        <v>45954</v>
      </c>
      <c r="E108" s="13">
        <v>45959</v>
      </c>
      <c r="F108" s="13">
        <v>45962</v>
      </c>
      <c r="G108" s="13">
        <v>45966</v>
      </c>
      <c r="H108" s="3" t="s">
        <v>17</v>
      </c>
      <c r="I108" s="3" t="s">
        <v>18</v>
      </c>
      <c r="L108" s="18">
        <f t="shared" si="5"/>
        <v>5</v>
      </c>
      <c r="M108">
        <f t="shared" si="6"/>
        <v>3</v>
      </c>
      <c r="N108">
        <f t="shared" si="7"/>
        <v>4</v>
      </c>
      <c r="O108" t="str">
        <f t="shared" si="8"/>
        <v>Detractor</v>
      </c>
    </row>
    <row r="109" spans="1:15" ht="14.25" customHeight="1" x14ac:dyDescent="0.3">
      <c r="A109" s="3" t="s">
        <v>128</v>
      </c>
      <c r="B109" s="3" t="s">
        <v>1021</v>
      </c>
      <c r="C109" s="3" t="s">
        <v>12</v>
      </c>
      <c r="D109" s="13">
        <v>45948</v>
      </c>
      <c r="E109" s="13">
        <v>45953</v>
      </c>
      <c r="F109" s="13">
        <v>45954</v>
      </c>
      <c r="G109" s="13">
        <v>45957</v>
      </c>
      <c r="H109" s="3" t="s">
        <v>13</v>
      </c>
      <c r="J109" s="4">
        <v>45972</v>
      </c>
      <c r="K109" s="3">
        <v>10</v>
      </c>
      <c r="L109" s="18">
        <f t="shared" si="5"/>
        <v>5</v>
      </c>
      <c r="M109">
        <f t="shared" si="6"/>
        <v>1</v>
      </c>
      <c r="N109">
        <f t="shared" si="7"/>
        <v>3</v>
      </c>
      <c r="O109" t="str">
        <f t="shared" si="8"/>
        <v>Promoter</v>
      </c>
    </row>
    <row r="110" spans="1:15" ht="14.25" customHeight="1" x14ac:dyDescent="0.3">
      <c r="A110" s="3" t="s">
        <v>129</v>
      </c>
      <c r="B110" s="3" t="s">
        <v>1022</v>
      </c>
      <c r="C110" s="3" t="s">
        <v>24</v>
      </c>
      <c r="D110" s="13">
        <v>45941</v>
      </c>
      <c r="E110" s="13">
        <v>45942</v>
      </c>
      <c r="F110" s="13">
        <v>45945</v>
      </c>
      <c r="G110" s="13">
        <v>45948</v>
      </c>
      <c r="H110" s="3" t="s">
        <v>13</v>
      </c>
      <c r="J110" s="4">
        <v>45978</v>
      </c>
      <c r="K110" s="3">
        <v>4</v>
      </c>
      <c r="L110" s="18">
        <f t="shared" si="5"/>
        <v>1</v>
      </c>
      <c r="M110">
        <f t="shared" si="6"/>
        <v>3</v>
      </c>
      <c r="N110">
        <f t="shared" si="7"/>
        <v>3</v>
      </c>
      <c r="O110" t="str">
        <f t="shared" si="8"/>
        <v>Detractor</v>
      </c>
    </row>
    <row r="111" spans="1:15" ht="14.25" customHeight="1" x14ac:dyDescent="0.3">
      <c r="A111" s="3" t="s">
        <v>130</v>
      </c>
      <c r="B111" s="3" t="s">
        <v>1022</v>
      </c>
      <c r="C111" s="3" t="s">
        <v>16</v>
      </c>
      <c r="D111" s="13">
        <v>45942</v>
      </c>
      <c r="H111" s="3" t="s">
        <v>17</v>
      </c>
      <c r="I111" s="3" t="s">
        <v>94</v>
      </c>
      <c r="M111">
        <f t="shared" si="6"/>
        <v>0</v>
      </c>
      <c r="N111">
        <f t="shared" si="7"/>
        <v>0</v>
      </c>
      <c r="O111" t="str">
        <f t="shared" si="8"/>
        <v>Detractor</v>
      </c>
    </row>
    <row r="112" spans="1:15" ht="14.25" customHeight="1" x14ac:dyDescent="0.3">
      <c r="A112" s="3" t="s">
        <v>131</v>
      </c>
      <c r="B112" s="3" t="s">
        <v>1023</v>
      </c>
      <c r="C112" s="3" t="s">
        <v>16</v>
      </c>
      <c r="D112" s="13">
        <v>45953</v>
      </c>
      <c r="H112" s="3" t="s">
        <v>17</v>
      </c>
      <c r="I112" s="3" t="s">
        <v>56</v>
      </c>
      <c r="M112">
        <f t="shared" si="6"/>
        <v>0</v>
      </c>
      <c r="N112">
        <f t="shared" si="7"/>
        <v>0</v>
      </c>
      <c r="O112" t="str">
        <f t="shared" si="8"/>
        <v>Detractor</v>
      </c>
    </row>
    <row r="113" spans="1:15" ht="14.25" customHeight="1" x14ac:dyDescent="0.3">
      <c r="A113" s="3" t="s">
        <v>132</v>
      </c>
      <c r="B113" s="3" t="s">
        <v>1023</v>
      </c>
      <c r="C113" s="3" t="s">
        <v>12</v>
      </c>
      <c r="D113" s="13">
        <v>45945</v>
      </c>
      <c r="E113" s="13">
        <v>45946</v>
      </c>
      <c r="F113" s="13">
        <v>45947</v>
      </c>
      <c r="G113" s="13">
        <v>45951</v>
      </c>
      <c r="H113" s="3" t="s">
        <v>13</v>
      </c>
      <c r="J113" s="4">
        <v>45963</v>
      </c>
      <c r="K113" s="3">
        <v>2</v>
      </c>
      <c r="L113" s="18">
        <f t="shared" si="5"/>
        <v>1</v>
      </c>
      <c r="M113">
        <f t="shared" si="6"/>
        <v>1</v>
      </c>
      <c r="N113">
        <f t="shared" si="7"/>
        <v>4</v>
      </c>
      <c r="O113" t="str">
        <f t="shared" si="8"/>
        <v>Detractor</v>
      </c>
    </row>
    <row r="114" spans="1:15" ht="14.25" customHeight="1" x14ac:dyDescent="0.3">
      <c r="A114" s="3" t="s">
        <v>133</v>
      </c>
      <c r="B114" s="3" t="s">
        <v>1023</v>
      </c>
      <c r="C114" s="3" t="s">
        <v>12</v>
      </c>
      <c r="D114" s="13">
        <v>45939</v>
      </c>
      <c r="E114" s="13">
        <v>45941</v>
      </c>
      <c r="F114" s="13">
        <v>45944</v>
      </c>
      <c r="G114" s="13">
        <v>45949</v>
      </c>
      <c r="H114" s="3" t="s">
        <v>17</v>
      </c>
      <c r="I114" s="3" t="s">
        <v>26</v>
      </c>
      <c r="L114" s="18">
        <f t="shared" si="5"/>
        <v>2</v>
      </c>
      <c r="M114">
        <f t="shared" si="6"/>
        <v>3</v>
      </c>
      <c r="N114">
        <f t="shared" si="7"/>
        <v>5</v>
      </c>
      <c r="O114" t="str">
        <f t="shared" si="8"/>
        <v>Detractor</v>
      </c>
    </row>
    <row r="115" spans="1:15" ht="14.25" customHeight="1" x14ac:dyDescent="0.3">
      <c r="A115" s="3" t="s">
        <v>134</v>
      </c>
      <c r="B115" s="3" t="s">
        <v>1022</v>
      </c>
      <c r="C115" s="3" t="s">
        <v>24</v>
      </c>
      <c r="D115" s="13">
        <v>45940</v>
      </c>
      <c r="E115" s="13">
        <v>45942</v>
      </c>
      <c r="F115" s="13">
        <v>45946</v>
      </c>
      <c r="G115" s="13">
        <v>45952</v>
      </c>
      <c r="H115" s="3" t="s">
        <v>13</v>
      </c>
      <c r="J115" s="4">
        <v>45982</v>
      </c>
      <c r="K115" s="3">
        <v>6</v>
      </c>
      <c r="L115" s="18">
        <f t="shared" si="5"/>
        <v>2</v>
      </c>
      <c r="M115">
        <f t="shared" si="6"/>
        <v>4</v>
      </c>
      <c r="N115">
        <f t="shared" si="7"/>
        <v>6</v>
      </c>
      <c r="O115" t="str">
        <f t="shared" si="8"/>
        <v>Detractor</v>
      </c>
    </row>
    <row r="116" spans="1:15" ht="14.25" customHeight="1" x14ac:dyDescent="0.3">
      <c r="A116" s="3" t="s">
        <v>135</v>
      </c>
      <c r="B116" s="3" t="s">
        <v>1024</v>
      </c>
      <c r="C116" s="3" t="s">
        <v>12</v>
      </c>
      <c r="D116" s="13">
        <v>45939</v>
      </c>
      <c r="E116" s="13">
        <v>45944</v>
      </c>
      <c r="F116" s="13">
        <v>45947</v>
      </c>
      <c r="G116" s="13">
        <v>45949</v>
      </c>
      <c r="H116" s="3" t="s">
        <v>13</v>
      </c>
      <c r="J116" s="4">
        <v>45969</v>
      </c>
      <c r="K116" s="3">
        <v>10</v>
      </c>
      <c r="L116" s="18">
        <f t="shared" si="5"/>
        <v>5</v>
      </c>
      <c r="M116">
        <f t="shared" si="6"/>
        <v>3</v>
      </c>
      <c r="N116">
        <f t="shared" si="7"/>
        <v>2</v>
      </c>
      <c r="O116" t="str">
        <f t="shared" si="8"/>
        <v>Promoter</v>
      </c>
    </row>
    <row r="117" spans="1:15" ht="14.25" customHeight="1" x14ac:dyDescent="0.3">
      <c r="A117" s="3" t="s">
        <v>136</v>
      </c>
      <c r="B117" s="3" t="s">
        <v>1024</v>
      </c>
      <c r="C117" s="3" t="s">
        <v>24</v>
      </c>
      <c r="D117" s="13">
        <v>45938</v>
      </c>
      <c r="E117" s="13">
        <v>45939</v>
      </c>
      <c r="F117" s="13">
        <v>45943</v>
      </c>
      <c r="G117" s="13">
        <v>45947</v>
      </c>
      <c r="H117" s="3" t="s">
        <v>13</v>
      </c>
      <c r="J117" s="4">
        <v>45971</v>
      </c>
      <c r="K117" s="3">
        <v>8</v>
      </c>
      <c r="L117" s="18">
        <f t="shared" si="5"/>
        <v>1</v>
      </c>
      <c r="M117">
        <f t="shared" si="6"/>
        <v>4</v>
      </c>
      <c r="N117">
        <f t="shared" si="7"/>
        <v>4</v>
      </c>
      <c r="O117" t="str">
        <f t="shared" si="8"/>
        <v>Passive</v>
      </c>
    </row>
    <row r="118" spans="1:15" ht="14.25" customHeight="1" x14ac:dyDescent="0.3">
      <c r="A118" s="3" t="s">
        <v>137</v>
      </c>
      <c r="B118" s="3" t="s">
        <v>1022</v>
      </c>
      <c r="C118" s="3" t="s">
        <v>16</v>
      </c>
      <c r="D118" s="13">
        <v>45934</v>
      </c>
      <c r="H118" s="3" t="s">
        <v>17</v>
      </c>
      <c r="I118" s="3" t="s">
        <v>26</v>
      </c>
      <c r="M118">
        <f t="shared" si="6"/>
        <v>0</v>
      </c>
      <c r="N118">
        <f t="shared" si="7"/>
        <v>0</v>
      </c>
      <c r="O118" t="str">
        <f t="shared" si="8"/>
        <v>Detractor</v>
      </c>
    </row>
    <row r="119" spans="1:15" ht="14.25" customHeight="1" x14ac:dyDescent="0.3">
      <c r="A119" s="3" t="s">
        <v>138</v>
      </c>
      <c r="B119" s="3" t="s">
        <v>1022</v>
      </c>
      <c r="C119" s="3" t="s">
        <v>24</v>
      </c>
      <c r="D119" s="13">
        <v>45954</v>
      </c>
      <c r="E119" s="13">
        <v>45955</v>
      </c>
      <c r="F119" s="13">
        <v>45957</v>
      </c>
      <c r="G119" s="13">
        <v>45959</v>
      </c>
      <c r="H119" s="3" t="s">
        <v>13</v>
      </c>
      <c r="J119" s="4">
        <v>45969</v>
      </c>
      <c r="K119" s="3">
        <v>1</v>
      </c>
      <c r="L119" s="18">
        <f t="shared" si="5"/>
        <v>1</v>
      </c>
      <c r="M119">
        <f t="shared" si="6"/>
        <v>2</v>
      </c>
      <c r="N119">
        <f t="shared" si="7"/>
        <v>2</v>
      </c>
      <c r="O119" t="str">
        <f t="shared" si="8"/>
        <v>Detractor</v>
      </c>
    </row>
    <row r="120" spans="1:15" ht="14.25" customHeight="1" x14ac:dyDescent="0.3">
      <c r="A120" s="3" t="s">
        <v>139</v>
      </c>
      <c r="B120" s="3" t="s">
        <v>1022</v>
      </c>
      <c r="C120" s="3" t="s">
        <v>12</v>
      </c>
      <c r="D120" s="13">
        <v>45937</v>
      </c>
      <c r="E120" s="13">
        <v>45940</v>
      </c>
      <c r="F120" s="13">
        <v>45942</v>
      </c>
      <c r="G120" s="13">
        <v>45947</v>
      </c>
      <c r="H120" s="3" t="s">
        <v>13</v>
      </c>
      <c r="J120" s="4">
        <v>45965</v>
      </c>
      <c r="K120" s="3">
        <v>5</v>
      </c>
      <c r="L120" s="18">
        <f t="shared" si="5"/>
        <v>3</v>
      </c>
      <c r="M120">
        <f t="shared" si="6"/>
        <v>2</v>
      </c>
      <c r="N120">
        <f t="shared" si="7"/>
        <v>5</v>
      </c>
      <c r="O120" t="str">
        <f t="shared" si="8"/>
        <v>Detractor</v>
      </c>
    </row>
    <row r="121" spans="1:15" ht="14.25" customHeight="1" x14ac:dyDescent="0.3">
      <c r="A121" s="3" t="s">
        <v>140</v>
      </c>
      <c r="B121" s="3" t="s">
        <v>1022</v>
      </c>
      <c r="C121" s="3" t="s">
        <v>16</v>
      </c>
      <c r="D121" s="13">
        <v>45941</v>
      </c>
      <c r="H121" s="3" t="s">
        <v>17</v>
      </c>
      <c r="I121" s="3" t="s">
        <v>18</v>
      </c>
      <c r="M121">
        <f t="shared" si="6"/>
        <v>0</v>
      </c>
      <c r="N121">
        <f t="shared" si="7"/>
        <v>0</v>
      </c>
      <c r="O121" t="str">
        <f t="shared" si="8"/>
        <v>Detractor</v>
      </c>
    </row>
    <row r="122" spans="1:15" ht="14.25" customHeight="1" x14ac:dyDescent="0.3">
      <c r="A122" s="3" t="s">
        <v>141</v>
      </c>
      <c r="B122" s="3" t="s">
        <v>1022</v>
      </c>
      <c r="C122" s="3" t="s">
        <v>12</v>
      </c>
      <c r="D122" s="13">
        <v>45934</v>
      </c>
      <c r="E122" s="13">
        <v>45938</v>
      </c>
      <c r="F122" s="13">
        <v>45943</v>
      </c>
      <c r="G122" s="13">
        <v>45946</v>
      </c>
      <c r="H122" s="3" t="s">
        <v>13</v>
      </c>
      <c r="J122" s="4">
        <v>45962</v>
      </c>
      <c r="K122" s="3">
        <v>1</v>
      </c>
      <c r="L122" s="18">
        <f t="shared" si="5"/>
        <v>4</v>
      </c>
      <c r="M122">
        <f t="shared" si="6"/>
        <v>5</v>
      </c>
      <c r="N122">
        <f t="shared" si="7"/>
        <v>3</v>
      </c>
      <c r="O122" t="str">
        <f t="shared" si="8"/>
        <v>Detractor</v>
      </c>
    </row>
    <row r="123" spans="1:15" ht="14.25" customHeight="1" x14ac:dyDescent="0.3">
      <c r="A123" s="3" t="s">
        <v>142</v>
      </c>
      <c r="B123" s="3" t="s">
        <v>1022</v>
      </c>
      <c r="C123" s="3" t="s">
        <v>24</v>
      </c>
      <c r="D123" s="13">
        <v>45954</v>
      </c>
      <c r="E123" s="13">
        <v>45958</v>
      </c>
      <c r="F123" s="13">
        <v>45961</v>
      </c>
      <c r="G123" s="13">
        <v>45964</v>
      </c>
      <c r="H123" s="3" t="s">
        <v>13</v>
      </c>
      <c r="J123" s="4">
        <v>45981</v>
      </c>
      <c r="K123" s="3">
        <v>2</v>
      </c>
      <c r="L123" s="18">
        <f t="shared" si="5"/>
        <v>4</v>
      </c>
      <c r="M123">
        <f t="shared" si="6"/>
        <v>3</v>
      </c>
      <c r="N123">
        <f t="shared" si="7"/>
        <v>3</v>
      </c>
      <c r="O123" t="str">
        <f t="shared" si="8"/>
        <v>Detractor</v>
      </c>
    </row>
    <row r="124" spans="1:15" ht="14.25" customHeight="1" x14ac:dyDescent="0.3">
      <c r="A124" s="3" t="s">
        <v>143</v>
      </c>
      <c r="B124" s="3" t="s">
        <v>1023</v>
      </c>
      <c r="C124" s="3" t="s">
        <v>24</v>
      </c>
      <c r="D124" s="13">
        <v>45948</v>
      </c>
      <c r="E124" s="13">
        <v>45952</v>
      </c>
      <c r="F124" s="13">
        <v>45957</v>
      </c>
      <c r="G124" s="13">
        <v>45962</v>
      </c>
      <c r="H124" s="3" t="s">
        <v>13</v>
      </c>
      <c r="J124" s="4">
        <v>45974</v>
      </c>
      <c r="K124" s="3">
        <v>6</v>
      </c>
      <c r="L124" s="18">
        <f t="shared" si="5"/>
        <v>4</v>
      </c>
      <c r="M124">
        <f t="shared" si="6"/>
        <v>5</v>
      </c>
      <c r="N124">
        <f t="shared" si="7"/>
        <v>5</v>
      </c>
      <c r="O124" t="str">
        <f t="shared" si="8"/>
        <v>Detractor</v>
      </c>
    </row>
    <row r="125" spans="1:15" ht="14.25" customHeight="1" x14ac:dyDescent="0.3">
      <c r="A125" s="3" t="s">
        <v>144</v>
      </c>
      <c r="B125" s="3" t="s">
        <v>1023</v>
      </c>
      <c r="C125" s="3" t="s">
        <v>24</v>
      </c>
      <c r="D125" s="13">
        <v>45961</v>
      </c>
      <c r="E125" s="13">
        <v>45966</v>
      </c>
      <c r="F125" s="13">
        <v>45969</v>
      </c>
      <c r="G125" s="13">
        <v>45975</v>
      </c>
      <c r="H125" s="3" t="s">
        <v>13</v>
      </c>
      <c r="J125" s="4">
        <v>45996</v>
      </c>
      <c r="K125" s="3">
        <v>5</v>
      </c>
      <c r="L125" s="18">
        <f t="shared" si="5"/>
        <v>5</v>
      </c>
      <c r="M125">
        <f t="shared" si="6"/>
        <v>3</v>
      </c>
      <c r="N125">
        <f t="shared" si="7"/>
        <v>6</v>
      </c>
      <c r="O125" t="str">
        <f t="shared" si="8"/>
        <v>Detractor</v>
      </c>
    </row>
    <row r="126" spans="1:15" ht="14.25" customHeight="1" x14ac:dyDescent="0.3">
      <c r="A126" s="3" t="s">
        <v>145</v>
      </c>
      <c r="B126" s="3" t="s">
        <v>1023</v>
      </c>
      <c r="C126" s="3" t="s">
        <v>12</v>
      </c>
      <c r="D126" s="13">
        <v>45955</v>
      </c>
      <c r="E126" s="13">
        <v>45959</v>
      </c>
      <c r="F126" s="13">
        <v>45961</v>
      </c>
      <c r="G126" s="13">
        <v>45967</v>
      </c>
      <c r="H126" s="3" t="s">
        <v>13</v>
      </c>
      <c r="J126" s="4">
        <v>45985</v>
      </c>
      <c r="K126" s="3">
        <v>4</v>
      </c>
      <c r="L126" s="18">
        <f t="shared" si="5"/>
        <v>4</v>
      </c>
      <c r="M126">
        <f t="shared" si="6"/>
        <v>2</v>
      </c>
      <c r="N126">
        <f t="shared" si="7"/>
        <v>6</v>
      </c>
      <c r="O126" t="str">
        <f t="shared" si="8"/>
        <v>Detractor</v>
      </c>
    </row>
    <row r="127" spans="1:15" ht="14.25" customHeight="1" x14ac:dyDescent="0.3">
      <c r="A127" s="3" t="s">
        <v>146</v>
      </c>
      <c r="B127" s="3" t="s">
        <v>1023</v>
      </c>
      <c r="C127" s="3" t="s">
        <v>24</v>
      </c>
      <c r="D127" s="13">
        <v>45953</v>
      </c>
      <c r="E127" s="13">
        <v>45957</v>
      </c>
      <c r="F127" s="13">
        <v>45958</v>
      </c>
      <c r="G127" s="13">
        <v>45965</v>
      </c>
      <c r="H127" s="3" t="s">
        <v>13</v>
      </c>
      <c r="J127" s="4">
        <v>45978</v>
      </c>
      <c r="K127" s="3">
        <v>0</v>
      </c>
      <c r="L127" s="18">
        <f t="shared" si="5"/>
        <v>4</v>
      </c>
      <c r="M127">
        <f t="shared" si="6"/>
        <v>1</v>
      </c>
      <c r="N127">
        <f t="shared" si="7"/>
        <v>7</v>
      </c>
      <c r="O127" t="str">
        <f t="shared" si="8"/>
        <v>Detractor</v>
      </c>
    </row>
    <row r="128" spans="1:15" ht="14.25" customHeight="1" x14ac:dyDescent="0.3">
      <c r="A128" s="3" t="s">
        <v>147</v>
      </c>
      <c r="B128" s="3" t="s">
        <v>1022</v>
      </c>
      <c r="C128" s="3" t="s">
        <v>12</v>
      </c>
      <c r="D128" s="13">
        <v>45936</v>
      </c>
      <c r="E128" s="13">
        <v>45939</v>
      </c>
      <c r="F128" s="13">
        <v>45944</v>
      </c>
      <c r="G128" s="13">
        <v>45949</v>
      </c>
      <c r="H128" s="3" t="s">
        <v>13</v>
      </c>
      <c r="J128" s="4">
        <v>45959</v>
      </c>
      <c r="K128" s="3">
        <v>4</v>
      </c>
      <c r="L128" s="18">
        <f t="shared" si="5"/>
        <v>3</v>
      </c>
      <c r="M128">
        <f t="shared" si="6"/>
        <v>5</v>
      </c>
      <c r="N128">
        <f t="shared" si="7"/>
        <v>5</v>
      </c>
      <c r="O128" t="str">
        <f t="shared" si="8"/>
        <v>Detractor</v>
      </c>
    </row>
    <row r="129" spans="1:15" ht="14.25" customHeight="1" x14ac:dyDescent="0.3">
      <c r="A129" s="3" t="s">
        <v>148</v>
      </c>
      <c r="B129" s="3" t="s">
        <v>1024</v>
      </c>
      <c r="C129" s="3" t="s">
        <v>16</v>
      </c>
      <c r="D129" s="13">
        <v>45937</v>
      </c>
      <c r="H129" s="3" t="s">
        <v>17</v>
      </c>
      <c r="I129" s="3" t="s">
        <v>56</v>
      </c>
      <c r="M129">
        <f t="shared" si="6"/>
        <v>0</v>
      </c>
      <c r="N129">
        <f t="shared" si="7"/>
        <v>0</v>
      </c>
      <c r="O129" t="str">
        <f t="shared" si="8"/>
        <v>Detractor</v>
      </c>
    </row>
    <row r="130" spans="1:15" ht="14.25" customHeight="1" x14ac:dyDescent="0.3">
      <c r="A130" s="3" t="s">
        <v>149</v>
      </c>
      <c r="B130" s="3" t="s">
        <v>1021</v>
      </c>
      <c r="C130" s="3" t="s">
        <v>24</v>
      </c>
      <c r="D130" s="13">
        <v>45937</v>
      </c>
      <c r="E130" s="13">
        <v>45939</v>
      </c>
      <c r="F130" s="13">
        <v>45944</v>
      </c>
      <c r="G130" s="13">
        <v>45949</v>
      </c>
      <c r="H130" s="3" t="s">
        <v>13</v>
      </c>
      <c r="J130" s="4">
        <v>45960</v>
      </c>
      <c r="K130" s="3">
        <v>4</v>
      </c>
      <c r="L130" s="18">
        <f t="shared" si="5"/>
        <v>2</v>
      </c>
      <c r="M130">
        <f t="shared" si="6"/>
        <v>5</v>
      </c>
      <c r="N130">
        <f t="shared" si="7"/>
        <v>5</v>
      </c>
      <c r="O130" t="str">
        <f t="shared" si="8"/>
        <v>Detractor</v>
      </c>
    </row>
    <row r="131" spans="1:15" ht="14.25" customHeight="1" x14ac:dyDescent="0.3">
      <c r="A131" s="3" t="s">
        <v>150</v>
      </c>
      <c r="B131" s="3" t="s">
        <v>1022</v>
      </c>
      <c r="C131" s="3" t="s">
        <v>16</v>
      </c>
      <c r="D131" s="13">
        <v>45954</v>
      </c>
      <c r="H131" s="3" t="s">
        <v>17</v>
      </c>
      <c r="I131" s="3" t="s">
        <v>56</v>
      </c>
      <c r="M131">
        <f t="shared" ref="M131:M194" si="9">F131-E131</f>
        <v>0</v>
      </c>
      <c r="N131">
        <f t="shared" ref="N131:N194" si="10">G131-F131</f>
        <v>0</v>
      </c>
      <c r="O131" t="str">
        <f t="shared" ref="O131:O194" si="11">IF(K131&gt;=9,"Promoter",IF(K131&lt;=6,"Detractor","Passive"))</f>
        <v>Detractor</v>
      </c>
    </row>
    <row r="132" spans="1:15" ht="14.25" customHeight="1" x14ac:dyDescent="0.3">
      <c r="A132" s="3" t="s">
        <v>151</v>
      </c>
      <c r="B132" s="3" t="s">
        <v>1021</v>
      </c>
      <c r="C132" s="3" t="s">
        <v>16</v>
      </c>
      <c r="D132" s="13">
        <v>45946</v>
      </c>
      <c r="H132" s="3" t="s">
        <v>17</v>
      </c>
      <c r="I132" s="3" t="s">
        <v>94</v>
      </c>
      <c r="M132">
        <f t="shared" si="9"/>
        <v>0</v>
      </c>
      <c r="N132">
        <f t="shared" si="10"/>
        <v>0</v>
      </c>
      <c r="O132" t="str">
        <f t="shared" si="11"/>
        <v>Detractor</v>
      </c>
    </row>
    <row r="133" spans="1:15" ht="14.25" customHeight="1" x14ac:dyDescent="0.3">
      <c r="A133" s="3" t="s">
        <v>152</v>
      </c>
      <c r="B133" s="3" t="s">
        <v>1024</v>
      </c>
      <c r="C133" s="3" t="s">
        <v>24</v>
      </c>
      <c r="D133" s="13">
        <v>45939</v>
      </c>
      <c r="E133" s="13">
        <v>45944</v>
      </c>
      <c r="F133" s="13">
        <v>45946</v>
      </c>
      <c r="G133" s="13">
        <v>45953</v>
      </c>
      <c r="H133" s="3" t="s">
        <v>13</v>
      </c>
      <c r="J133" s="4">
        <v>45975</v>
      </c>
      <c r="K133" s="3">
        <v>4</v>
      </c>
      <c r="L133" s="18">
        <f t="shared" ref="L133:L194" si="12">E133-D133</f>
        <v>5</v>
      </c>
      <c r="M133">
        <f t="shared" si="9"/>
        <v>2</v>
      </c>
      <c r="N133">
        <f t="shared" si="10"/>
        <v>7</v>
      </c>
      <c r="O133" t="str">
        <f t="shared" si="11"/>
        <v>Detractor</v>
      </c>
    </row>
    <row r="134" spans="1:15" ht="14.25" customHeight="1" x14ac:dyDescent="0.3">
      <c r="A134" s="3" t="s">
        <v>153</v>
      </c>
      <c r="B134" s="3" t="s">
        <v>1023</v>
      </c>
      <c r="C134" s="3" t="s">
        <v>16</v>
      </c>
      <c r="D134" s="13">
        <v>45954</v>
      </c>
      <c r="H134" s="3" t="s">
        <v>17</v>
      </c>
      <c r="I134" s="3" t="s">
        <v>56</v>
      </c>
      <c r="M134">
        <f t="shared" si="9"/>
        <v>0</v>
      </c>
      <c r="N134">
        <f t="shared" si="10"/>
        <v>0</v>
      </c>
      <c r="O134" t="str">
        <f t="shared" si="11"/>
        <v>Detractor</v>
      </c>
    </row>
    <row r="135" spans="1:15" ht="14.25" customHeight="1" x14ac:dyDescent="0.3">
      <c r="A135" s="3" t="s">
        <v>154</v>
      </c>
      <c r="B135" s="3" t="s">
        <v>1024</v>
      </c>
      <c r="C135" s="3" t="s">
        <v>12</v>
      </c>
      <c r="D135" s="13">
        <v>45949</v>
      </c>
      <c r="E135" s="13">
        <v>45950</v>
      </c>
      <c r="F135" s="13">
        <v>45952</v>
      </c>
      <c r="G135" s="13">
        <v>45957</v>
      </c>
      <c r="H135" s="3" t="s">
        <v>13</v>
      </c>
      <c r="J135" s="4">
        <v>45981</v>
      </c>
      <c r="K135" s="3">
        <v>2</v>
      </c>
      <c r="L135" s="18">
        <f t="shared" si="12"/>
        <v>1</v>
      </c>
      <c r="M135">
        <f t="shared" si="9"/>
        <v>2</v>
      </c>
      <c r="N135">
        <f t="shared" si="10"/>
        <v>5</v>
      </c>
      <c r="O135" t="str">
        <f t="shared" si="11"/>
        <v>Detractor</v>
      </c>
    </row>
    <row r="136" spans="1:15" ht="14.25" customHeight="1" x14ac:dyDescent="0.3">
      <c r="A136" s="3" t="s">
        <v>155</v>
      </c>
      <c r="B136" s="3" t="s">
        <v>1022</v>
      </c>
      <c r="C136" s="3" t="s">
        <v>16</v>
      </c>
      <c r="D136" s="13">
        <v>45955</v>
      </c>
      <c r="H136" s="3" t="s">
        <v>17</v>
      </c>
      <c r="I136" s="3" t="s">
        <v>20</v>
      </c>
      <c r="M136">
        <f t="shared" si="9"/>
        <v>0</v>
      </c>
      <c r="N136">
        <f t="shared" si="10"/>
        <v>0</v>
      </c>
      <c r="O136" t="str">
        <f t="shared" si="11"/>
        <v>Detractor</v>
      </c>
    </row>
    <row r="137" spans="1:15" ht="14.25" customHeight="1" x14ac:dyDescent="0.3">
      <c r="A137" s="3" t="s">
        <v>156</v>
      </c>
      <c r="B137" s="3" t="s">
        <v>1023</v>
      </c>
      <c r="C137" s="3" t="s">
        <v>12</v>
      </c>
      <c r="D137" s="13">
        <v>45947</v>
      </c>
      <c r="E137" s="13">
        <v>45950</v>
      </c>
      <c r="F137" s="13">
        <v>45951</v>
      </c>
      <c r="G137" s="13">
        <v>45956</v>
      </c>
      <c r="H137" s="3" t="s">
        <v>13</v>
      </c>
      <c r="J137" s="4">
        <v>45979</v>
      </c>
      <c r="K137" s="3">
        <v>3</v>
      </c>
      <c r="L137" s="18">
        <f t="shared" si="12"/>
        <v>3</v>
      </c>
      <c r="M137">
        <f t="shared" si="9"/>
        <v>1</v>
      </c>
      <c r="N137">
        <f t="shared" si="10"/>
        <v>5</v>
      </c>
      <c r="O137" t="str">
        <f t="shared" si="11"/>
        <v>Detractor</v>
      </c>
    </row>
    <row r="138" spans="1:15" ht="14.25" customHeight="1" x14ac:dyDescent="0.3">
      <c r="A138" s="3" t="s">
        <v>157</v>
      </c>
      <c r="B138" s="3" t="s">
        <v>1022</v>
      </c>
      <c r="C138" s="3" t="s">
        <v>12</v>
      </c>
      <c r="D138" s="13">
        <v>45950</v>
      </c>
      <c r="E138" s="13">
        <v>45954</v>
      </c>
      <c r="F138" s="13">
        <v>45959</v>
      </c>
      <c r="G138" s="13">
        <v>45966</v>
      </c>
      <c r="H138" s="3" t="s">
        <v>13</v>
      </c>
      <c r="J138" s="4">
        <v>45981</v>
      </c>
      <c r="K138" s="3">
        <v>0</v>
      </c>
      <c r="L138" s="18">
        <f t="shared" si="12"/>
        <v>4</v>
      </c>
      <c r="M138">
        <f t="shared" si="9"/>
        <v>5</v>
      </c>
      <c r="N138">
        <f t="shared" si="10"/>
        <v>7</v>
      </c>
      <c r="O138" t="str">
        <f t="shared" si="11"/>
        <v>Detractor</v>
      </c>
    </row>
    <row r="139" spans="1:15" ht="14.25" customHeight="1" x14ac:dyDescent="0.3">
      <c r="A139" s="3" t="s">
        <v>158</v>
      </c>
      <c r="B139" s="3" t="s">
        <v>1023</v>
      </c>
      <c r="C139" s="3" t="s">
        <v>12</v>
      </c>
      <c r="D139" s="13">
        <v>45940</v>
      </c>
      <c r="E139" s="13">
        <v>45941</v>
      </c>
      <c r="F139" s="13">
        <v>45943</v>
      </c>
      <c r="G139" s="13">
        <v>45948</v>
      </c>
      <c r="H139" s="3" t="s">
        <v>17</v>
      </c>
      <c r="I139" s="3" t="s">
        <v>94</v>
      </c>
      <c r="L139" s="18">
        <f t="shared" si="12"/>
        <v>1</v>
      </c>
      <c r="M139">
        <f t="shared" si="9"/>
        <v>2</v>
      </c>
      <c r="N139">
        <f t="shared" si="10"/>
        <v>5</v>
      </c>
      <c r="O139" t="str">
        <f t="shared" si="11"/>
        <v>Detractor</v>
      </c>
    </row>
    <row r="140" spans="1:15" ht="14.25" customHeight="1" x14ac:dyDescent="0.3">
      <c r="A140" s="3" t="s">
        <v>159</v>
      </c>
      <c r="B140" s="3" t="s">
        <v>1021</v>
      </c>
      <c r="C140" s="3" t="s">
        <v>16</v>
      </c>
      <c r="D140" s="13">
        <v>45934</v>
      </c>
      <c r="H140" s="3" t="s">
        <v>17</v>
      </c>
      <c r="I140" s="3" t="s">
        <v>20</v>
      </c>
      <c r="M140">
        <f t="shared" si="9"/>
        <v>0</v>
      </c>
      <c r="N140">
        <f t="shared" si="10"/>
        <v>0</v>
      </c>
      <c r="O140" t="str">
        <f t="shared" si="11"/>
        <v>Detractor</v>
      </c>
    </row>
    <row r="141" spans="1:15" ht="14.25" customHeight="1" x14ac:dyDescent="0.3">
      <c r="A141" s="3" t="s">
        <v>160</v>
      </c>
      <c r="B141" s="3" t="s">
        <v>1021</v>
      </c>
      <c r="C141" s="3" t="s">
        <v>12</v>
      </c>
      <c r="D141" s="13">
        <v>45957</v>
      </c>
      <c r="E141" s="13">
        <v>45960</v>
      </c>
      <c r="F141" s="13">
        <v>45962</v>
      </c>
      <c r="G141" s="13">
        <v>45967</v>
      </c>
      <c r="H141" s="3" t="s">
        <v>13</v>
      </c>
      <c r="J141" s="4">
        <v>45990</v>
      </c>
      <c r="K141" s="3">
        <v>5</v>
      </c>
      <c r="L141" s="18">
        <f t="shared" si="12"/>
        <v>3</v>
      </c>
      <c r="M141">
        <f t="shared" si="9"/>
        <v>2</v>
      </c>
      <c r="N141">
        <f t="shared" si="10"/>
        <v>5</v>
      </c>
      <c r="O141" t="str">
        <f t="shared" si="11"/>
        <v>Detractor</v>
      </c>
    </row>
    <row r="142" spans="1:15" ht="14.25" customHeight="1" x14ac:dyDescent="0.3">
      <c r="A142" s="3" t="s">
        <v>161</v>
      </c>
      <c r="B142" s="3" t="s">
        <v>1021</v>
      </c>
      <c r="C142" s="3" t="s">
        <v>12</v>
      </c>
      <c r="D142" s="13">
        <v>45937</v>
      </c>
      <c r="E142" s="13">
        <v>45942</v>
      </c>
      <c r="F142" s="13">
        <v>45943</v>
      </c>
      <c r="G142" s="13">
        <v>45946</v>
      </c>
      <c r="H142" s="3" t="s">
        <v>13</v>
      </c>
      <c r="J142" s="4">
        <v>45971</v>
      </c>
      <c r="K142" s="3">
        <v>0</v>
      </c>
      <c r="L142" s="18">
        <f t="shared" si="12"/>
        <v>5</v>
      </c>
      <c r="M142">
        <f t="shared" si="9"/>
        <v>1</v>
      </c>
      <c r="N142">
        <f t="shared" si="10"/>
        <v>3</v>
      </c>
      <c r="O142" t="str">
        <f t="shared" si="11"/>
        <v>Detractor</v>
      </c>
    </row>
    <row r="143" spans="1:15" ht="14.25" customHeight="1" x14ac:dyDescent="0.3">
      <c r="A143" s="3" t="s">
        <v>162</v>
      </c>
      <c r="B143" s="3" t="s">
        <v>1024</v>
      </c>
      <c r="C143" s="3" t="s">
        <v>16</v>
      </c>
      <c r="D143" s="13">
        <v>45940</v>
      </c>
      <c r="H143" s="3" t="s">
        <v>17</v>
      </c>
      <c r="I143" s="3" t="s">
        <v>18</v>
      </c>
      <c r="M143">
        <f t="shared" si="9"/>
        <v>0</v>
      </c>
      <c r="N143">
        <f t="shared" si="10"/>
        <v>0</v>
      </c>
      <c r="O143" t="str">
        <f t="shared" si="11"/>
        <v>Detractor</v>
      </c>
    </row>
    <row r="144" spans="1:15" ht="14.25" customHeight="1" x14ac:dyDescent="0.3">
      <c r="A144" s="3" t="s">
        <v>163</v>
      </c>
      <c r="B144" s="3" t="s">
        <v>1022</v>
      </c>
      <c r="C144" s="3" t="s">
        <v>24</v>
      </c>
      <c r="D144" s="13">
        <v>45938</v>
      </c>
      <c r="E144" s="13">
        <v>45942</v>
      </c>
      <c r="F144" s="13">
        <v>45943</v>
      </c>
      <c r="G144" s="13">
        <v>45945</v>
      </c>
      <c r="H144" s="3" t="s">
        <v>13</v>
      </c>
      <c r="J144" s="4">
        <v>45967</v>
      </c>
      <c r="K144" s="3">
        <v>4</v>
      </c>
      <c r="L144" s="18">
        <f t="shared" si="12"/>
        <v>4</v>
      </c>
      <c r="M144">
        <f t="shared" si="9"/>
        <v>1</v>
      </c>
      <c r="N144">
        <f t="shared" si="10"/>
        <v>2</v>
      </c>
      <c r="O144" t="str">
        <f t="shared" si="11"/>
        <v>Detractor</v>
      </c>
    </row>
    <row r="145" spans="1:15" ht="14.25" customHeight="1" x14ac:dyDescent="0.3">
      <c r="A145" s="3" t="s">
        <v>164</v>
      </c>
      <c r="B145" s="3" t="s">
        <v>1024</v>
      </c>
      <c r="C145" s="3" t="s">
        <v>24</v>
      </c>
      <c r="D145" s="13">
        <v>45942</v>
      </c>
      <c r="E145" s="13">
        <v>45947</v>
      </c>
      <c r="F145" s="13">
        <v>45951</v>
      </c>
      <c r="G145" s="13">
        <v>45957</v>
      </c>
      <c r="H145" s="3" t="s">
        <v>13</v>
      </c>
      <c r="J145" s="4">
        <v>45978</v>
      </c>
      <c r="K145" s="3">
        <v>1</v>
      </c>
      <c r="L145" s="18">
        <f t="shared" si="12"/>
        <v>5</v>
      </c>
      <c r="M145">
        <f t="shared" si="9"/>
        <v>4</v>
      </c>
      <c r="N145">
        <f t="shared" si="10"/>
        <v>6</v>
      </c>
      <c r="O145" t="str">
        <f t="shared" si="11"/>
        <v>Detractor</v>
      </c>
    </row>
    <row r="146" spans="1:15" ht="14.25" customHeight="1" x14ac:dyDescent="0.3">
      <c r="A146" s="3" t="s">
        <v>165</v>
      </c>
      <c r="B146" s="3" t="s">
        <v>1021</v>
      </c>
      <c r="C146" s="3" t="s">
        <v>24</v>
      </c>
      <c r="D146" s="13">
        <v>45936</v>
      </c>
      <c r="E146" s="13">
        <v>45939</v>
      </c>
      <c r="F146" s="13">
        <v>45942</v>
      </c>
      <c r="G146" s="13">
        <v>45944</v>
      </c>
      <c r="H146" s="3" t="s">
        <v>13</v>
      </c>
      <c r="J146" s="4">
        <v>45971</v>
      </c>
      <c r="K146" s="3">
        <v>6</v>
      </c>
      <c r="L146" s="18">
        <f t="shared" si="12"/>
        <v>3</v>
      </c>
      <c r="M146">
        <f t="shared" si="9"/>
        <v>3</v>
      </c>
      <c r="N146">
        <f t="shared" si="10"/>
        <v>2</v>
      </c>
      <c r="O146" t="str">
        <f t="shared" si="11"/>
        <v>Detractor</v>
      </c>
    </row>
    <row r="147" spans="1:15" ht="14.25" customHeight="1" x14ac:dyDescent="0.3">
      <c r="A147" s="3" t="s">
        <v>166</v>
      </c>
      <c r="B147" s="3" t="s">
        <v>1022</v>
      </c>
      <c r="C147" s="3" t="s">
        <v>12</v>
      </c>
      <c r="D147" s="13">
        <v>45940</v>
      </c>
      <c r="E147" s="13">
        <v>45941</v>
      </c>
      <c r="F147" s="13">
        <v>45945</v>
      </c>
      <c r="G147" s="13">
        <v>45948</v>
      </c>
      <c r="H147" s="3" t="s">
        <v>13</v>
      </c>
      <c r="J147" s="4">
        <v>45970</v>
      </c>
      <c r="K147" s="3">
        <v>1</v>
      </c>
      <c r="L147" s="18">
        <f t="shared" si="12"/>
        <v>1</v>
      </c>
      <c r="M147">
        <f t="shared" si="9"/>
        <v>4</v>
      </c>
      <c r="N147">
        <f t="shared" si="10"/>
        <v>3</v>
      </c>
      <c r="O147" t="str">
        <f t="shared" si="11"/>
        <v>Detractor</v>
      </c>
    </row>
    <row r="148" spans="1:15" ht="14.25" customHeight="1" x14ac:dyDescent="0.3">
      <c r="A148" s="3" t="s">
        <v>167</v>
      </c>
      <c r="B148" s="3" t="s">
        <v>1021</v>
      </c>
      <c r="C148" s="3" t="s">
        <v>24</v>
      </c>
      <c r="D148" s="13">
        <v>45931</v>
      </c>
      <c r="E148" s="13">
        <v>45933</v>
      </c>
      <c r="F148" s="13">
        <v>45934</v>
      </c>
      <c r="G148" s="13">
        <v>45938</v>
      </c>
      <c r="H148" s="3" t="s">
        <v>13</v>
      </c>
      <c r="J148" s="4">
        <v>45951</v>
      </c>
      <c r="K148" s="3">
        <v>6</v>
      </c>
      <c r="L148" s="18">
        <f t="shared" si="12"/>
        <v>2</v>
      </c>
      <c r="M148">
        <f t="shared" si="9"/>
        <v>1</v>
      </c>
      <c r="N148">
        <f t="shared" si="10"/>
        <v>4</v>
      </c>
      <c r="O148" t="str">
        <f t="shared" si="11"/>
        <v>Detractor</v>
      </c>
    </row>
    <row r="149" spans="1:15" ht="14.25" customHeight="1" x14ac:dyDescent="0.3">
      <c r="A149" s="3" t="s">
        <v>168</v>
      </c>
      <c r="B149" s="3" t="s">
        <v>1024</v>
      </c>
      <c r="C149" s="3" t="s">
        <v>16</v>
      </c>
      <c r="D149" s="13">
        <v>45953</v>
      </c>
      <c r="H149" s="3" t="s">
        <v>17</v>
      </c>
      <c r="I149" s="3" t="s">
        <v>26</v>
      </c>
      <c r="M149">
        <f t="shared" si="9"/>
        <v>0</v>
      </c>
      <c r="N149">
        <f t="shared" si="10"/>
        <v>0</v>
      </c>
      <c r="O149" t="str">
        <f t="shared" si="11"/>
        <v>Detractor</v>
      </c>
    </row>
    <row r="150" spans="1:15" ht="14.25" customHeight="1" x14ac:dyDescent="0.3">
      <c r="A150" s="3" t="s">
        <v>169</v>
      </c>
      <c r="B150" s="3" t="s">
        <v>1024</v>
      </c>
      <c r="C150" s="3" t="s">
        <v>24</v>
      </c>
      <c r="D150" s="13">
        <v>45948</v>
      </c>
      <c r="E150" s="13">
        <v>45952</v>
      </c>
      <c r="F150" s="13">
        <v>45954</v>
      </c>
      <c r="G150" s="13">
        <v>45956</v>
      </c>
      <c r="H150" s="3" t="s">
        <v>13</v>
      </c>
      <c r="J150" s="4">
        <v>45981</v>
      </c>
      <c r="K150" s="3">
        <v>5</v>
      </c>
      <c r="L150" s="18">
        <f t="shared" si="12"/>
        <v>4</v>
      </c>
      <c r="M150">
        <f t="shared" si="9"/>
        <v>2</v>
      </c>
      <c r="N150">
        <f t="shared" si="10"/>
        <v>2</v>
      </c>
      <c r="O150" t="str">
        <f t="shared" si="11"/>
        <v>Detractor</v>
      </c>
    </row>
    <row r="151" spans="1:15" ht="14.25" customHeight="1" x14ac:dyDescent="0.3">
      <c r="A151" s="3" t="s">
        <v>170</v>
      </c>
      <c r="B151" s="3" t="s">
        <v>1024</v>
      </c>
      <c r="C151" s="3" t="s">
        <v>12</v>
      </c>
      <c r="D151" s="13">
        <v>45935</v>
      </c>
      <c r="E151" s="13">
        <v>45940</v>
      </c>
      <c r="F151" s="13">
        <v>45941</v>
      </c>
      <c r="G151" s="13">
        <v>45945</v>
      </c>
      <c r="H151" s="3" t="s">
        <v>13</v>
      </c>
      <c r="J151" s="4">
        <v>45973</v>
      </c>
      <c r="K151" s="3">
        <v>4</v>
      </c>
      <c r="L151" s="18">
        <f t="shared" si="12"/>
        <v>5</v>
      </c>
      <c r="M151">
        <f t="shared" si="9"/>
        <v>1</v>
      </c>
      <c r="N151">
        <f t="shared" si="10"/>
        <v>4</v>
      </c>
      <c r="O151" t="str">
        <f t="shared" si="11"/>
        <v>Detractor</v>
      </c>
    </row>
    <row r="152" spans="1:15" ht="14.25" customHeight="1" x14ac:dyDescent="0.3">
      <c r="A152" s="3" t="s">
        <v>171</v>
      </c>
      <c r="B152" s="3" t="s">
        <v>1021</v>
      </c>
      <c r="C152" s="3" t="s">
        <v>24</v>
      </c>
      <c r="D152" s="13">
        <v>45939</v>
      </c>
      <c r="E152" s="13">
        <v>45940</v>
      </c>
      <c r="F152" s="13">
        <v>45945</v>
      </c>
      <c r="G152" s="13">
        <v>45948</v>
      </c>
      <c r="H152" s="3" t="s">
        <v>13</v>
      </c>
      <c r="J152" s="4">
        <v>45978</v>
      </c>
      <c r="K152" s="3">
        <v>2</v>
      </c>
      <c r="L152" s="18">
        <f t="shared" si="12"/>
        <v>1</v>
      </c>
      <c r="M152">
        <f t="shared" si="9"/>
        <v>5</v>
      </c>
      <c r="N152">
        <f t="shared" si="10"/>
        <v>3</v>
      </c>
      <c r="O152" t="str">
        <f t="shared" si="11"/>
        <v>Detractor</v>
      </c>
    </row>
    <row r="153" spans="1:15" ht="14.25" customHeight="1" x14ac:dyDescent="0.3">
      <c r="A153" s="3" t="s">
        <v>172</v>
      </c>
      <c r="B153" s="3" t="s">
        <v>1022</v>
      </c>
      <c r="C153" s="3" t="s">
        <v>16</v>
      </c>
      <c r="D153" s="13">
        <v>45932</v>
      </c>
      <c r="H153" s="3" t="s">
        <v>17</v>
      </c>
      <c r="I153" s="3" t="s">
        <v>18</v>
      </c>
      <c r="M153">
        <f t="shared" si="9"/>
        <v>0</v>
      </c>
      <c r="N153">
        <f t="shared" si="10"/>
        <v>0</v>
      </c>
      <c r="O153" t="str">
        <f t="shared" si="11"/>
        <v>Detractor</v>
      </c>
    </row>
    <row r="154" spans="1:15" ht="14.25" customHeight="1" x14ac:dyDescent="0.3">
      <c r="A154" s="3" t="s">
        <v>173</v>
      </c>
      <c r="B154" s="3" t="s">
        <v>1022</v>
      </c>
      <c r="C154" s="3" t="s">
        <v>16</v>
      </c>
      <c r="D154" s="13">
        <v>45932</v>
      </c>
      <c r="H154" s="3" t="s">
        <v>17</v>
      </c>
      <c r="I154" s="3" t="s">
        <v>26</v>
      </c>
      <c r="M154">
        <f t="shared" si="9"/>
        <v>0</v>
      </c>
      <c r="N154">
        <f t="shared" si="10"/>
        <v>0</v>
      </c>
      <c r="O154" t="str">
        <f t="shared" si="11"/>
        <v>Detractor</v>
      </c>
    </row>
    <row r="155" spans="1:15" ht="14.25" customHeight="1" x14ac:dyDescent="0.3">
      <c r="A155" s="3" t="s">
        <v>174</v>
      </c>
      <c r="B155" s="3" t="s">
        <v>1021</v>
      </c>
      <c r="C155" s="3" t="s">
        <v>12</v>
      </c>
      <c r="D155" s="13">
        <v>45948</v>
      </c>
      <c r="E155" s="13">
        <v>45949</v>
      </c>
      <c r="F155" s="13">
        <v>45951</v>
      </c>
      <c r="G155" s="13">
        <v>45957</v>
      </c>
      <c r="H155" s="3" t="s">
        <v>13</v>
      </c>
      <c r="J155" s="4">
        <v>45974</v>
      </c>
      <c r="K155" s="3">
        <v>7</v>
      </c>
      <c r="L155" s="18">
        <f t="shared" si="12"/>
        <v>1</v>
      </c>
      <c r="M155">
        <f t="shared" si="9"/>
        <v>2</v>
      </c>
      <c r="N155">
        <f t="shared" si="10"/>
        <v>6</v>
      </c>
      <c r="O155" t="str">
        <f t="shared" si="11"/>
        <v>Passive</v>
      </c>
    </row>
    <row r="156" spans="1:15" ht="14.25" customHeight="1" x14ac:dyDescent="0.3">
      <c r="A156" s="3" t="s">
        <v>175</v>
      </c>
      <c r="B156" s="3" t="s">
        <v>1022</v>
      </c>
      <c r="C156" s="3" t="s">
        <v>16</v>
      </c>
      <c r="D156" s="13">
        <v>45940</v>
      </c>
      <c r="H156" s="3" t="s">
        <v>17</v>
      </c>
      <c r="I156" s="3" t="s">
        <v>18</v>
      </c>
      <c r="M156">
        <f t="shared" si="9"/>
        <v>0</v>
      </c>
      <c r="N156">
        <f t="shared" si="10"/>
        <v>0</v>
      </c>
      <c r="O156" t="str">
        <f t="shared" si="11"/>
        <v>Detractor</v>
      </c>
    </row>
    <row r="157" spans="1:15" ht="14.25" customHeight="1" x14ac:dyDescent="0.3">
      <c r="A157" s="3" t="s">
        <v>176</v>
      </c>
      <c r="B157" s="3" t="s">
        <v>1021</v>
      </c>
      <c r="C157" s="3" t="s">
        <v>24</v>
      </c>
      <c r="D157" s="13">
        <v>45953</v>
      </c>
      <c r="E157" s="13">
        <v>45955</v>
      </c>
      <c r="F157" s="13">
        <v>45959</v>
      </c>
      <c r="G157" s="13">
        <v>45963</v>
      </c>
      <c r="H157" s="3" t="s">
        <v>13</v>
      </c>
      <c r="J157" s="4">
        <v>45978</v>
      </c>
      <c r="K157" s="3">
        <v>4</v>
      </c>
      <c r="L157" s="18">
        <f t="shared" si="12"/>
        <v>2</v>
      </c>
      <c r="M157">
        <f t="shared" si="9"/>
        <v>4</v>
      </c>
      <c r="N157">
        <f t="shared" si="10"/>
        <v>4</v>
      </c>
      <c r="O157" t="str">
        <f t="shared" si="11"/>
        <v>Detractor</v>
      </c>
    </row>
    <row r="158" spans="1:15" ht="14.25" customHeight="1" x14ac:dyDescent="0.3">
      <c r="A158" s="3" t="s">
        <v>177</v>
      </c>
      <c r="B158" s="3" t="s">
        <v>1022</v>
      </c>
      <c r="C158" s="3" t="s">
        <v>16</v>
      </c>
      <c r="D158" s="13">
        <v>45961</v>
      </c>
      <c r="H158" s="3" t="s">
        <v>17</v>
      </c>
      <c r="I158" s="3" t="s">
        <v>56</v>
      </c>
      <c r="M158">
        <f t="shared" si="9"/>
        <v>0</v>
      </c>
      <c r="N158">
        <f t="shared" si="10"/>
        <v>0</v>
      </c>
      <c r="O158" t="str">
        <f t="shared" si="11"/>
        <v>Detractor</v>
      </c>
    </row>
    <row r="159" spans="1:15" ht="14.25" customHeight="1" x14ac:dyDescent="0.3">
      <c r="A159" s="3" t="s">
        <v>178</v>
      </c>
      <c r="B159" s="3" t="s">
        <v>1023</v>
      </c>
      <c r="C159" s="3" t="s">
        <v>24</v>
      </c>
      <c r="D159" s="13">
        <v>45935</v>
      </c>
      <c r="E159" s="13">
        <v>45938</v>
      </c>
      <c r="F159" s="13">
        <v>45942</v>
      </c>
      <c r="G159" s="13">
        <v>45945</v>
      </c>
      <c r="H159" s="3" t="s">
        <v>13</v>
      </c>
      <c r="J159" s="4">
        <v>45969</v>
      </c>
      <c r="K159" s="3">
        <v>8</v>
      </c>
      <c r="L159" s="18">
        <f t="shared" si="12"/>
        <v>3</v>
      </c>
      <c r="M159">
        <f t="shared" si="9"/>
        <v>4</v>
      </c>
      <c r="N159">
        <f t="shared" si="10"/>
        <v>3</v>
      </c>
      <c r="O159" t="str">
        <f t="shared" si="11"/>
        <v>Passive</v>
      </c>
    </row>
    <row r="160" spans="1:15" ht="14.25" customHeight="1" x14ac:dyDescent="0.3">
      <c r="A160" s="3" t="s">
        <v>179</v>
      </c>
      <c r="B160" s="3" t="s">
        <v>1023</v>
      </c>
      <c r="C160" s="3" t="s">
        <v>16</v>
      </c>
      <c r="D160" s="13">
        <v>45951</v>
      </c>
      <c r="H160" s="3" t="s">
        <v>17</v>
      </c>
      <c r="I160" s="3" t="s">
        <v>20</v>
      </c>
      <c r="M160">
        <f t="shared" si="9"/>
        <v>0</v>
      </c>
      <c r="N160">
        <f t="shared" si="10"/>
        <v>0</v>
      </c>
      <c r="O160" t="str">
        <f t="shared" si="11"/>
        <v>Detractor</v>
      </c>
    </row>
    <row r="161" spans="1:15" ht="14.25" customHeight="1" x14ac:dyDescent="0.3">
      <c r="A161" s="3" t="s">
        <v>180</v>
      </c>
      <c r="B161" s="3" t="s">
        <v>1024</v>
      </c>
      <c r="C161" s="3" t="s">
        <v>24</v>
      </c>
      <c r="D161" s="13">
        <v>45958</v>
      </c>
      <c r="E161" s="13">
        <v>45960</v>
      </c>
      <c r="F161" s="13">
        <v>45964</v>
      </c>
      <c r="G161" s="13">
        <v>45969</v>
      </c>
      <c r="H161" s="3" t="s">
        <v>13</v>
      </c>
      <c r="J161" s="4">
        <v>45981</v>
      </c>
      <c r="K161" s="3">
        <v>5</v>
      </c>
      <c r="L161" s="18">
        <f t="shared" si="12"/>
        <v>2</v>
      </c>
      <c r="M161">
        <f t="shared" si="9"/>
        <v>4</v>
      </c>
      <c r="N161">
        <f t="shared" si="10"/>
        <v>5</v>
      </c>
      <c r="O161" t="str">
        <f t="shared" si="11"/>
        <v>Detractor</v>
      </c>
    </row>
    <row r="162" spans="1:15" ht="14.25" customHeight="1" x14ac:dyDescent="0.3">
      <c r="A162" s="3" t="s">
        <v>181</v>
      </c>
      <c r="B162" s="3" t="s">
        <v>1023</v>
      </c>
      <c r="C162" s="3" t="s">
        <v>12</v>
      </c>
      <c r="D162" s="13">
        <v>45955</v>
      </c>
      <c r="E162" s="13">
        <v>45957</v>
      </c>
      <c r="F162" s="13">
        <v>45959</v>
      </c>
      <c r="G162" s="13">
        <v>45965</v>
      </c>
      <c r="H162" s="3" t="s">
        <v>13</v>
      </c>
      <c r="J162" s="4">
        <v>45976</v>
      </c>
      <c r="K162" s="3">
        <v>3</v>
      </c>
      <c r="L162" s="18">
        <f t="shared" si="12"/>
        <v>2</v>
      </c>
      <c r="M162">
        <f t="shared" si="9"/>
        <v>2</v>
      </c>
      <c r="N162">
        <f t="shared" si="10"/>
        <v>6</v>
      </c>
      <c r="O162" t="str">
        <f t="shared" si="11"/>
        <v>Detractor</v>
      </c>
    </row>
    <row r="163" spans="1:15" ht="14.25" customHeight="1" x14ac:dyDescent="0.3">
      <c r="A163" s="3" t="s">
        <v>182</v>
      </c>
      <c r="B163" s="3" t="s">
        <v>1023</v>
      </c>
      <c r="C163" s="3" t="s">
        <v>12</v>
      </c>
      <c r="D163" s="13">
        <v>45946</v>
      </c>
      <c r="E163" s="13">
        <v>45949</v>
      </c>
      <c r="F163" s="13">
        <v>45952</v>
      </c>
      <c r="G163" s="13">
        <v>45959</v>
      </c>
      <c r="H163" s="3" t="s">
        <v>13</v>
      </c>
      <c r="J163" s="4">
        <v>45978</v>
      </c>
      <c r="K163" s="3">
        <v>2</v>
      </c>
      <c r="L163" s="18">
        <f t="shared" si="12"/>
        <v>3</v>
      </c>
      <c r="M163">
        <f t="shared" si="9"/>
        <v>3</v>
      </c>
      <c r="N163">
        <f t="shared" si="10"/>
        <v>7</v>
      </c>
      <c r="O163" t="str">
        <f t="shared" si="11"/>
        <v>Detractor</v>
      </c>
    </row>
    <row r="164" spans="1:15" ht="14.25" customHeight="1" x14ac:dyDescent="0.3">
      <c r="A164" s="3" t="s">
        <v>183</v>
      </c>
      <c r="B164" s="3" t="s">
        <v>1023</v>
      </c>
      <c r="C164" s="3" t="s">
        <v>24</v>
      </c>
      <c r="D164" s="13">
        <v>45934</v>
      </c>
      <c r="E164" s="13">
        <v>45937</v>
      </c>
      <c r="F164" s="13">
        <v>45940</v>
      </c>
      <c r="G164" s="13">
        <v>45945</v>
      </c>
      <c r="H164" s="3" t="s">
        <v>13</v>
      </c>
      <c r="J164" s="4">
        <v>45955</v>
      </c>
      <c r="K164" s="3">
        <v>7</v>
      </c>
      <c r="L164" s="18">
        <f t="shared" si="12"/>
        <v>3</v>
      </c>
      <c r="M164">
        <f t="shared" si="9"/>
        <v>3</v>
      </c>
      <c r="N164">
        <f t="shared" si="10"/>
        <v>5</v>
      </c>
      <c r="O164" t="str">
        <f t="shared" si="11"/>
        <v>Passive</v>
      </c>
    </row>
    <row r="165" spans="1:15" ht="14.25" customHeight="1" x14ac:dyDescent="0.3">
      <c r="A165" s="3" t="s">
        <v>184</v>
      </c>
      <c r="B165" s="3" t="s">
        <v>1021</v>
      </c>
      <c r="C165" s="3" t="s">
        <v>24</v>
      </c>
      <c r="D165" s="13">
        <v>45958</v>
      </c>
      <c r="E165" s="13">
        <v>45961</v>
      </c>
      <c r="F165" s="13">
        <v>45964</v>
      </c>
      <c r="G165" s="13">
        <v>45970</v>
      </c>
      <c r="H165" s="3" t="s">
        <v>13</v>
      </c>
      <c r="J165" s="4">
        <v>45990</v>
      </c>
      <c r="K165" s="3">
        <v>5</v>
      </c>
      <c r="L165" s="18">
        <f t="shared" si="12"/>
        <v>3</v>
      </c>
      <c r="M165">
        <f t="shared" si="9"/>
        <v>3</v>
      </c>
      <c r="N165">
        <f t="shared" si="10"/>
        <v>6</v>
      </c>
      <c r="O165" t="str">
        <f t="shared" si="11"/>
        <v>Detractor</v>
      </c>
    </row>
    <row r="166" spans="1:15" ht="14.25" customHeight="1" x14ac:dyDescent="0.3">
      <c r="A166" s="3" t="s">
        <v>185</v>
      </c>
      <c r="B166" s="3" t="s">
        <v>1023</v>
      </c>
      <c r="C166" s="3" t="s">
        <v>24</v>
      </c>
      <c r="D166" s="13">
        <v>45931</v>
      </c>
      <c r="E166" s="13">
        <v>45932</v>
      </c>
      <c r="F166" s="13">
        <v>45933</v>
      </c>
      <c r="G166" s="13">
        <v>45939</v>
      </c>
      <c r="H166" s="3" t="s">
        <v>13</v>
      </c>
      <c r="J166" s="4">
        <v>45957</v>
      </c>
      <c r="K166" s="3">
        <v>6</v>
      </c>
      <c r="L166" s="18">
        <f t="shared" si="12"/>
        <v>1</v>
      </c>
      <c r="M166">
        <f t="shared" si="9"/>
        <v>1</v>
      </c>
      <c r="N166">
        <f t="shared" si="10"/>
        <v>6</v>
      </c>
      <c r="O166" t="str">
        <f t="shared" si="11"/>
        <v>Detractor</v>
      </c>
    </row>
    <row r="167" spans="1:15" ht="14.25" customHeight="1" x14ac:dyDescent="0.3">
      <c r="A167" s="3" t="s">
        <v>186</v>
      </c>
      <c r="B167" s="3" t="s">
        <v>1023</v>
      </c>
      <c r="C167" s="3" t="s">
        <v>12</v>
      </c>
      <c r="D167" s="13">
        <v>45949</v>
      </c>
      <c r="E167" s="13">
        <v>45950</v>
      </c>
      <c r="F167" s="13">
        <v>45951</v>
      </c>
      <c r="G167" s="13">
        <v>45953</v>
      </c>
      <c r="H167" s="3" t="s">
        <v>13</v>
      </c>
      <c r="J167" s="4">
        <v>45966</v>
      </c>
      <c r="K167" s="3">
        <v>2</v>
      </c>
      <c r="L167" s="18">
        <f t="shared" si="12"/>
        <v>1</v>
      </c>
      <c r="M167">
        <f t="shared" si="9"/>
        <v>1</v>
      </c>
      <c r="N167">
        <f t="shared" si="10"/>
        <v>2</v>
      </c>
      <c r="O167" t="str">
        <f t="shared" si="11"/>
        <v>Detractor</v>
      </c>
    </row>
    <row r="168" spans="1:15" ht="14.25" customHeight="1" x14ac:dyDescent="0.3">
      <c r="A168" s="3" t="s">
        <v>187</v>
      </c>
      <c r="B168" s="3" t="s">
        <v>1024</v>
      </c>
      <c r="C168" s="3" t="s">
        <v>12</v>
      </c>
      <c r="D168" s="13">
        <v>45940</v>
      </c>
      <c r="E168" s="13">
        <v>45944</v>
      </c>
      <c r="F168" s="13">
        <v>45949</v>
      </c>
      <c r="G168" s="13">
        <v>45955</v>
      </c>
      <c r="H168" s="3" t="s">
        <v>17</v>
      </c>
      <c r="I168" s="3" t="s">
        <v>26</v>
      </c>
      <c r="L168" s="18">
        <f t="shared" si="12"/>
        <v>4</v>
      </c>
      <c r="M168">
        <f t="shared" si="9"/>
        <v>5</v>
      </c>
      <c r="N168">
        <f t="shared" si="10"/>
        <v>6</v>
      </c>
      <c r="O168" t="str">
        <f t="shared" si="11"/>
        <v>Detractor</v>
      </c>
    </row>
    <row r="169" spans="1:15" ht="14.25" customHeight="1" x14ac:dyDescent="0.3">
      <c r="A169" s="3" t="s">
        <v>188</v>
      </c>
      <c r="B169" s="3" t="s">
        <v>1023</v>
      </c>
      <c r="C169" s="3" t="s">
        <v>24</v>
      </c>
      <c r="D169" s="13">
        <v>45946</v>
      </c>
      <c r="E169" s="13">
        <v>45950</v>
      </c>
      <c r="F169" s="13">
        <v>45952</v>
      </c>
      <c r="G169" s="13">
        <v>45954</v>
      </c>
      <c r="H169" s="3" t="s">
        <v>17</v>
      </c>
      <c r="I169" s="3" t="s">
        <v>94</v>
      </c>
      <c r="L169" s="18">
        <f t="shared" si="12"/>
        <v>4</v>
      </c>
      <c r="M169">
        <f t="shared" si="9"/>
        <v>2</v>
      </c>
      <c r="N169">
        <f t="shared" si="10"/>
        <v>2</v>
      </c>
      <c r="O169" t="str">
        <f t="shared" si="11"/>
        <v>Detractor</v>
      </c>
    </row>
    <row r="170" spans="1:15" ht="14.25" customHeight="1" x14ac:dyDescent="0.3">
      <c r="A170" s="3" t="s">
        <v>189</v>
      </c>
      <c r="B170" s="3" t="s">
        <v>1023</v>
      </c>
      <c r="C170" s="3" t="s">
        <v>12</v>
      </c>
      <c r="D170" s="13">
        <v>45946</v>
      </c>
      <c r="E170" s="13">
        <v>45948</v>
      </c>
      <c r="F170" s="13">
        <v>45953</v>
      </c>
      <c r="G170" s="13">
        <v>45957</v>
      </c>
      <c r="H170" s="3" t="s">
        <v>13</v>
      </c>
      <c r="J170" s="4">
        <v>45969</v>
      </c>
      <c r="K170" s="3">
        <v>5</v>
      </c>
      <c r="L170" s="18">
        <f t="shared" si="12"/>
        <v>2</v>
      </c>
      <c r="M170">
        <f t="shared" si="9"/>
        <v>5</v>
      </c>
      <c r="N170">
        <f t="shared" si="10"/>
        <v>4</v>
      </c>
      <c r="O170" t="str">
        <f t="shared" si="11"/>
        <v>Detractor</v>
      </c>
    </row>
    <row r="171" spans="1:15" ht="14.25" customHeight="1" x14ac:dyDescent="0.3">
      <c r="A171" s="3" t="s">
        <v>190</v>
      </c>
      <c r="B171" s="3" t="s">
        <v>1022</v>
      </c>
      <c r="C171" s="3" t="s">
        <v>24</v>
      </c>
      <c r="D171" s="13">
        <v>45945</v>
      </c>
      <c r="E171" s="13">
        <v>45947</v>
      </c>
      <c r="F171" s="13">
        <v>45948</v>
      </c>
      <c r="G171" s="13">
        <v>45954</v>
      </c>
      <c r="H171" s="3" t="s">
        <v>13</v>
      </c>
      <c r="J171" s="4">
        <v>45974</v>
      </c>
      <c r="K171" s="3">
        <v>2</v>
      </c>
      <c r="L171" s="18">
        <f t="shared" si="12"/>
        <v>2</v>
      </c>
      <c r="M171">
        <f t="shared" si="9"/>
        <v>1</v>
      </c>
      <c r="N171">
        <f t="shared" si="10"/>
        <v>6</v>
      </c>
      <c r="O171" t="str">
        <f t="shared" si="11"/>
        <v>Detractor</v>
      </c>
    </row>
    <row r="172" spans="1:15" ht="14.25" customHeight="1" x14ac:dyDescent="0.3">
      <c r="A172" s="3" t="s">
        <v>191</v>
      </c>
      <c r="B172" s="3" t="s">
        <v>1024</v>
      </c>
      <c r="C172" s="3" t="s">
        <v>16</v>
      </c>
      <c r="D172" s="13">
        <v>45941</v>
      </c>
      <c r="H172" s="3" t="s">
        <v>17</v>
      </c>
      <c r="I172" s="3" t="s">
        <v>20</v>
      </c>
      <c r="M172">
        <f t="shared" si="9"/>
        <v>0</v>
      </c>
      <c r="N172">
        <f t="shared" si="10"/>
        <v>0</v>
      </c>
      <c r="O172" t="str">
        <f t="shared" si="11"/>
        <v>Detractor</v>
      </c>
    </row>
    <row r="173" spans="1:15" ht="14.25" customHeight="1" x14ac:dyDescent="0.3">
      <c r="A173" s="3" t="s">
        <v>192</v>
      </c>
      <c r="B173" s="3" t="s">
        <v>1024</v>
      </c>
      <c r="C173" s="3" t="s">
        <v>24</v>
      </c>
      <c r="D173" s="13">
        <v>45936</v>
      </c>
      <c r="E173" s="13">
        <v>45940</v>
      </c>
      <c r="F173" s="13">
        <v>45942</v>
      </c>
      <c r="G173" s="13">
        <v>45946</v>
      </c>
      <c r="H173" s="3" t="s">
        <v>13</v>
      </c>
      <c r="J173" s="4">
        <v>45961</v>
      </c>
      <c r="K173" s="3">
        <v>1</v>
      </c>
      <c r="L173" s="18">
        <f t="shared" si="12"/>
        <v>4</v>
      </c>
      <c r="M173">
        <f t="shared" si="9"/>
        <v>2</v>
      </c>
      <c r="N173">
        <f t="shared" si="10"/>
        <v>4</v>
      </c>
      <c r="O173" t="str">
        <f t="shared" si="11"/>
        <v>Detractor</v>
      </c>
    </row>
    <row r="174" spans="1:15" ht="14.25" customHeight="1" x14ac:dyDescent="0.3">
      <c r="A174" s="3" t="s">
        <v>193</v>
      </c>
      <c r="B174" s="3" t="s">
        <v>1024</v>
      </c>
      <c r="C174" s="3" t="s">
        <v>24</v>
      </c>
      <c r="D174" s="13">
        <v>45961</v>
      </c>
      <c r="E174" s="13">
        <v>45966</v>
      </c>
      <c r="F174" s="13">
        <v>45970</v>
      </c>
      <c r="G174" s="13">
        <v>45976</v>
      </c>
      <c r="H174" s="3" t="s">
        <v>13</v>
      </c>
      <c r="J174" s="4">
        <v>45998</v>
      </c>
      <c r="K174" s="3">
        <v>8</v>
      </c>
      <c r="L174" s="18">
        <f t="shared" si="12"/>
        <v>5</v>
      </c>
      <c r="M174">
        <f t="shared" si="9"/>
        <v>4</v>
      </c>
      <c r="N174">
        <f t="shared" si="10"/>
        <v>6</v>
      </c>
      <c r="O174" t="str">
        <f t="shared" si="11"/>
        <v>Passive</v>
      </c>
    </row>
    <row r="175" spans="1:15" ht="14.25" customHeight="1" x14ac:dyDescent="0.3">
      <c r="A175" s="3" t="s">
        <v>194</v>
      </c>
      <c r="B175" s="3" t="s">
        <v>1024</v>
      </c>
      <c r="C175" s="3" t="s">
        <v>24</v>
      </c>
      <c r="D175" s="13">
        <v>45932</v>
      </c>
      <c r="E175" s="13">
        <v>45934</v>
      </c>
      <c r="F175" s="13">
        <v>45936</v>
      </c>
      <c r="G175" s="13">
        <v>45938</v>
      </c>
      <c r="H175" s="3" t="s">
        <v>13</v>
      </c>
      <c r="J175" s="4">
        <v>45953</v>
      </c>
      <c r="K175" s="3">
        <v>6</v>
      </c>
      <c r="L175" s="18">
        <f t="shared" si="12"/>
        <v>2</v>
      </c>
      <c r="M175">
        <f t="shared" si="9"/>
        <v>2</v>
      </c>
      <c r="N175">
        <f t="shared" si="10"/>
        <v>2</v>
      </c>
      <c r="O175" t="str">
        <f t="shared" si="11"/>
        <v>Detractor</v>
      </c>
    </row>
    <row r="176" spans="1:15" ht="14.25" customHeight="1" x14ac:dyDescent="0.3">
      <c r="A176" s="3" t="s">
        <v>195</v>
      </c>
      <c r="B176" s="3" t="s">
        <v>1024</v>
      </c>
      <c r="C176" s="3" t="s">
        <v>12</v>
      </c>
      <c r="D176" s="13">
        <v>45939</v>
      </c>
      <c r="E176" s="13">
        <v>45944</v>
      </c>
      <c r="F176" s="13">
        <v>45945</v>
      </c>
      <c r="G176" s="13">
        <v>45952</v>
      </c>
      <c r="H176" s="3" t="s">
        <v>13</v>
      </c>
      <c r="J176" s="4">
        <v>45964</v>
      </c>
      <c r="K176" s="3">
        <v>6</v>
      </c>
      <c r="L176" s="18">
        <f t="shared" si="12"/>
        <v>5</v>
      </c>
      <c r="M176">
        <f t="shared" si="9"/>
        <v>1</v>
      </c>
      <c r="N176">
        <f t="shared" si="10"/>
        <v>7</v>
      </c>
      <c r="O176" t="str">
        <f t="shared" si="11"/>
        <v>Detractor</v>
      </c>
    </row>
    <row r="177" spans="1:15" ht="14.25" customHeight="1" x14ac:dyDescent="0.3">
      <c r="A177" s="3" t="s">
        <v>196</v>
      </c>
      <c r="B177" s="3" t="s">
        <v>1024</v>
      </c>
      <c r="C177" s="3" t="s">
        <v>16</v>
      </c>
      <c r="D177" s="13">
        <v>45961</v>
      </c>
      <c r="H177" s="3" t="s">
        <v>17</v>
      </c>
      <c r="I177" s="3" t="s">
        <v>94</v>
      </c>
      <c r="M177">
        <f t="shared" si="9"/>
        <v>0</v>
      </c>
      <c r="N177">
        <f t="shared" si="10"/>
        <v>0</v>
      </c>
      <c r="O177" t="str">
        <f t="shared" si="11"/>
        <v>Detractor</v>
      </c>
    </row>
    <row r="178" spans="1:15" ht="14.25" customHeight="1" x14ac:dyDescent="0.3">
      <c r="A178" s="3" t="s">
        <v>197</v>
      </c>
      <c r="B178" s="3" t="s">
        <v>1021</v>
      </c>
      <c r="C178" s="3" t="s">
        <v>12</v>
      </c>
      <c r="D178" s="13">
        <v>45958</v>
      </c>
      <c r="E178" s="13">
        <v>45963</v>
      </c>
      <c r="F178" s="13">
        <v>45967</v>
      </c>
      <c r="G178" s="13">
        <v>45972</v>
      </c>
      <c r="H178" s="3" t="s">
        <v>13</v>
      </c>
      <c r="J178" s="4">
        <v>45999</v>
      </c>
      <c r="K178" s="3">
        <v>3</v>
      </c>
      <c r="L178" s="18">
        <f t="shared" si="12"/>
        <v>5</v>
      </c>
      <c r="M178">
        <f t="shared" si="9"/>
        <v>4</v>
      </c>
      <c r="N178">
        <f t="shared" si="10"/>
        <v>5</v>
      </c>
      <c r="O178" t="str">
        <f t="shared" si="11"/>
        <v>Detractor</v>
      </c>
    </row>
    <row r="179" spans="1:15" ht="14.25" customHeight="1" x14ac:dyDescent="0.3">
      <c r="A179" s="3" t="s">
        <v>198</v>
      </c>
      <c r="B179" s="3" t="s">
        <v>1023</v>
      </c>
      <c r="C179" s="3" t="s">
        <v>24</v>
      </c>
      <c r="D179" s="13">
        <v>45946</v>
      </c>
      <c r="E179" s="13">
        <v>45949</v>
      </c>
      <c r="F179" s="13">
        <v>45953</v>
      </c>
      <c r="G179" s="13">
        <v>45959</v>
      </c>
      <c r="H179" s="3" t="s">
        <v>13</v>
      </c>
      <c r="J179" s="4">
        <v>45971</v>
      </c>
      <c r="K179" s="3">
        <v>5</v>
      </c>
      <c r="L179" s="18">
        <f t="shared" si="12"/>
        <v>3</v>
      </c>
      <c r="M179">
        <f t="shared" si="9"/>
        <v>4</v>
      </c>
      <c r="N179">
        <f t="shared" si="10"/>
        <v>6</v>
      </c>
      <c r="O179" t="str">
        <f t="shared" si="11"/>
        <v>Detractor</v>
      </c>
    </row>
    <row r="180" spans="1:15" ht="14.25" customHeight="1" x14ac:dyDescent="0.3">
      <c r="A180" s="3" t="s">
        <v>199</v>
      </c>
      <c r="B180" s="3" t="s">
        <v>1024</v>
      </c>
      <c r="C180" s="3" t="s">
        <v>12</v>
      </c>
      <c r="D180" s="13">
        <v>45934</v>
      </c>
      <c r="E180" s="13">
        <v>45935</v>
      </c>
      <c r="F180" s="13">
        <v>45937</v>
      </c>
      <c r="G180" s="13">
        <v>45940</v>
      </c>
      <c r="H180" s="3" t="s">
        <v>13</v>
      </c>
      <c r="J180" s="4">
        <v>45960</v>
      </c>
      <c r="K180" s="3">
        <v>9</v>
      </c>
      <c r="L180" s="18">
        <f t="shared" si="12"/>
        <v>1</v>
      </c>
      <c r="M180">
        <f t="shared" si="9"/>
        <v>2</v>
      </c>
      <c r="N180">
        <f t="shared" si="10"/>
        <v>3</v>
      </c>
      <c r="O180" t="str">
        <f t="shared" si="11"/>
        <v>Promoter</v>
      </c>
    </row>
    <row r="181" spans="1:15" ht="14.25" customHeight="1" x14ac:dyDescent="0.3">
      <c r="A181" s="3" t="s">
        <v>200</v>
      </c>
      <c r="B181" s="3" t="s">
        <v>1023</v>
      </c>
      <c r="C181" s="3" t="s">
        <v>12</v>
      </c>
      <c r="D181" s="13">
        <v>45957</v>
      </c>
      <c r="E181" s="13">
        <v>45961</v>
      </c>
      <c r="F181" s="13">
        <v>45964</v>
      </c>
      <c r="G181" s="13">
        <v>45969</v>
      </c>
      <c r="H181" s="3" t="s">
        <v>13</v>
      </c>
      <c r="J181" s="4">
        <v>45998</v>
      </c>
      <c r="K181" s="3">
        <v>4</v>
      </c>
      <c r="L181" s="18">
        <f t="shared" si="12"/>
        <v>4</v>
      </c>
      <c r="M181">
        <f t="shared" si="9"/>
        <v>3</v>
      </c>
      <c r="N181">
        <f t="shared" si="10"/>
        <v>5</v>
      </c>
      <c r="O181" t="str">
        <f t="shared" si="11"/>
        <v>Detractor</v>
      </c>
    </row>
    <row r="182" spans="1:15" ht="14.25" customHeight="1" x14ac:dyDescent="0.3">
      <c r="A182" s="3" t="s">
        <v>201</v>
      </c>
      <c r="B182" s="3" t="s">
        <v>1023</v>
      </c>
      <c r="C182" s="3" t="s">
        <v>24</v>
      </c>
      <c r="D182" s="13">
        <v>45933</v>
      </c>
      <c r="E182" s="13">
        <v>45934</v>
      </c>
      <c r="F182" s="13">
        <v>45935</v>
      </c>
      <c r="G182" s="13">
        <v>45937</v>
      </c>
      <c r="H182" s="3" t="s">
        <v>13</v>
      </c>
      <c r="J182" s="4">
        <v>45966</v>
      </c>
      <c r="K182" s="3">
        <v>1</v>
      </c>
      <c r="L182" s="18">
        <f t="shared" si="12"/>
        <v>1</v>
      </c>
      <c r="M182">
        <f t="shared" si="9"/>
        <v>1</v>
      </c>
      <c r="N182">
        <f t="shared" si="10"/>
        <v>2</v>
      </c>
      <c r="O182" t="str">
        <f t="shared" si="11"/>
        <v>Detractor</v>
      </c>
    </row>
    <row r="183" spans="1:15" ht="14.25" customHeight="1" x14ac:dyDescent="0.3">
      <c r="A183" s="3" t="s">
        <v>202</v>
      </c>
      <c r="B183" s="3" t="s">
        <v>1021</v>
      </c>
      <c r="C183" s="3" t="s">
        <v>12</v>
      </c>
      <c r="D183" s="13">
        <v>45943</v>
      </c>
      <c r="E183" s="13">
        <v>45947</v>
      </c>
      <c r="F183" s="13">
        <v>45948</v>
      </c>
      <c r="G183" s="13">
        <v>45955</v>
      </c>
      <c r="H183" s="3" t="s">
        <v>13</v>
      </c>
      <c r="J183" s="4">
        <v>45980</v>
      </c>
      <c r="K183" s="3">
        <v>4</v>
      </c>
      <c r="L183" s="18">
        <f t="shared" si="12"/>
        <v>4</v>
      </c>
      <c r="M183">
        <f t="shared" si="9"/>
        <v>1</v>
      </c>
      <c r="N183">
        <f t="shared" si="10"/>
        <v>7</v>
      </c>
      <c r="O183" t="str">
        <f t="shared" si="11"/>
        <v>Detractor</v>
      </c>
    </row>
    <row r="184" spans="1:15" ht="14.25" customHeight="1" x14ac:dyDescent="0.3">
      <c r="A184" s="3" t="s">
        <v>203</v>
      </c>
      <c r="B184" s="3" t="s">
        <v>1024</v>
      </c>
      <c r="C184" s="3" t="s">
        <v>16</v>
      </c>
      <c r="D184" s="13">
        <v>45946</v>
      </c>
      <c r="H184" s="3" t="s">
        <v>17</v>
      </c>
      <c r="I184" s="3" t="s">
        <v>20</v>
      </c>
      <c r="M184">
        <f t="shared" si="9"/>
        <v>0</v>
      </c>
      <c r="N184">
        <f t="shared" si="10"/>
        <v>0</v>
      </c>
      <c r="O184" t="str">
        <f t="shared" si="11"/>
        <v>Detractor</v>
      </c>
    </row>
    <row r="185" spans="1:15" ht="14.25" customHeight="1" x14ac:dyDescent="0.3">
      <c r="A185" s="3" t="s">
        <v>204</v>
      </c>
      <c r="B185" s="3" t="s">
        <v>1022</v>
      </c>
      <c r="C185" s="3" t="s">
        <v>24</v>
      </c>
      <c r="D185" s="13">
        <v>45933</v>
      </c>
      <c r="E185" s="13">
        <v>45934</v>
      </c>
      <c r="F185" s="13">
        <v>45937</v>
      </c>
      <c r="G185" s="13">
        <v>45944</v>
      </c>
      <c r="H185" s="3" t="s">
        <v>13</v>
      </c>
      <c r="J185" s="4">
        <v>45954</v>
      </c>
      <c r="K185" s="3">
        <v>6</v>
      </c>
      <c r="L185" s="18">
        <f t="shared" si="12"/>
        <v>1</v>
      </c>
      <c r="M185">
        <f t="shared" si="9"/>
        <v>3</v>
      </c>
      <c r="N185">
        <f t="shared" si="10"/>
        <v>7</v>
      </c>
      <c r="O185" t="str">
        <f t="shared" si="11"/>
        <v>Detractor</v>
      </c>
    </row>
    <row r="186" spans="1:15" ht="14.25" customHeight="1" x14ac:dyDescent="0.3">
      <c r="A186" s="3" t="s">
        <v>205</v>
      </c>
      <c r="B186" s="3" t="s">
        <v>1021</v>
      </c>
      <c r="C186" s="3" t="s">
        <v>12</v>
      </c>
      <c r="D186" s="13">
        <v>45949</v>
      </c>
      <c r="E186" s="13">
        <v>45953</v>
      </c>
      <c r="F186" s="13">
        <v>45958</v>
      </c>
      <c r="G186" s="13">
        <v>45961</v>
      </c>
      <c r="H186" s="3" t="s">
        <v>13</v>
      </c>
      <c r="J186" s="4">
        <v>45984</v>
      </c>
      <c r="K186" s="3">
        <v>3</v>
      </c>
      <c r="L186" s="18">
        <f t="shared" si="12"/>
        <v>4</v>
      </c>
      <c r="M186">
        <f t="shared" si="9"/>
        <v>5</v>
      </c>
      <c r="N186">
        <f t="shared" si="10"/>
        <v>3</v>
      </c>
      <c r="O186" t="str">
        <f t="shared" si="11"/>
        <v>Detractor</v>
      </c>
    </row>
    <row r="187" spans="1:15" ht="14.25" customHeight="1" x14ac:dyDescent="0.3">
      <c r="A187" s="3" t="s">
        <v>206</v>
      </c>
      <c r="B187" s="3" t="s">
        <v>1022</v>
      </c>
      <c r="C187" s="3" t="s">
        <v>12</v>
      </c>
      <c r="D187" s="13">
        <v>45951</v>
      </c>
      <c r="E187" s="13">
        <v>45952</v>
      </c>
      <c r="F187" s="13">
        <v>45957</v>
      </c>
      <c r="G187" s="13">
        <v>45961</v>
      </c>
      <c r="H187" s="3" t="s">
        <v>13</v>
      </c>
      <c r="J187" s="4">
        <v>45991</v>
      </c>
      <c r="K187" s="3">
        <v>2</v>
      </c>
      <c r="L187" s="18">
        <f t="shared" si="12"/>
        <v>1</v>
      </c>
      <c r="M187">
        <f t="shared" si="9"/>
        <v>5</v>
      </c>
      <c r="N187">
        <f t="shared" si="10"/>
        <v>4</v>
      </c>
      <c r="O187" t="str">
        <f t="shared" si="11"/>
        <v>Detractor</v>
      </c>
    </row>
    <row r="188" spans="1:15" ht="14.25" customHeight="1" x14ac:dyDescent="0.3">
      <c r="A188" s="3" t="s">
        <v>207</v>
      </c>
      <c r="B188" s="3" t="s">
        <v>1023</v>
      </c>
      <c r="C188" s="3" t="s">
        <v>12</v>
      </c>
      <c r="D188" s="13">
        <v>45952</v>
      </c>
      <c r="E188" s="13">
        <v>45955</v>
      </c>
      <c r="F188" s="13">
        <v>45956</v>
      </c>
      <c r="G188" s="13">
        <v>45958</v>
      </c>
      <c r="H188" s="3" t="s">
        <v>13</v>
      </c>
      <c r="J188" s="4">
        <v>45973</v>
      </c>
      <c r="K188" s="3">
        <v>3</v>
      </c>
      <c r="L188" s="18">
        <f t="shared" si="12"/>
        <v>3</v>
      </c>
      <c r="M188">
        <f t="shared" si="9"/>
        <v>1</v>
      </c>
      <c r="N188">
        <f t="shared" si="10"/>
        <v>2</v>
      </c>
      <c r="O188" t="str">
        <f t="shared" si="11"/>
        <v>Detractor</v>
      </c>
    </row>
    <row r="189" spans="1:15" ht="14.25" customHeight="1" x14ac:dyDescent="0.3">
      <c r="A189" s="3" t="s">
        <v>208</v>
      </c>
      <c r="B189" s="3" t="s">
        <v>1023</v>
      </c>
      <c r="C189" s="3" t="s">
        <v>24</v>
      </c>
      <c r="D189" s="13">
        <v>45932</v>
      </c>
      <c r="E189" s="13">
        <v>45937</v>
      </c>
      <c r="F189" s="13">
        <v>45940</v>
      </c>
      <c r="G189" s="13">
        <v>45945</v>
      </c>
      <c r="H189" s="3" t="s">
        <v>13</v>
      </c>
      <c r="J189" s="4">
        <v>45974</v>
      </c>
      <c r="K189" s="3">
        <v>7</v>
      </c>
      <c r="L189" s="18">
        <f t="shared" si="12"/>
        <v>5</v>
      </c>
      <c r="M189">
        <f t="shared" si="9"/>
        <v>3</v>
      </c>
      <c r="N189">
        <f t="shared" si="10"/>
        <v>5</v>
      </c>
      <c r="O189" t="str">
        <f t="shared" si="11"/>
        <v>Passive</v>
      </c>
    </row>
    <row r="190" spans="1:15" ht="14.25" customHeight="1" x14ac:dyDescent="0.3">
      <c r="A190" s="3" t="s">
        <v>209</v>
      </c>
      <c r="B190" s="3" t="s">
        <v>1021</v>
      </c>
      <c r="C190" s="3" t="s">
        <v>24</v>
      </c>
      <c r="D190" s="13">
        <v>45935</v>
      </c>
      <c r="E190" s="13">
        <v>45939</v>
      </c>
      <c r="F190" s="13">
        <v>45942</v>
      </c>
      <c r="G190" s="13">
        <v>45946</v>
      </c>
      <c r="H190" s="3" t="s">
        <v>13</v>
      </c>
      <c r="J190" s="4">
        <v>45969</v>
      </c>
      <c r="K190" s="3">
        <v>9</v>
      </c>
      <c r="L190" s="18">
        <f t="shared" si="12"/>
        <v>4</v>
      </c>
      <c r="M190">
        <f t="shared" si="9"/>
        <v>3</v>
      </c>
      <c r="N190">
        <f t="shared" si="10"/>
        <v>4</v>
      </c>
      <c r="O190" t="str">
        <f t="shared" si="11"/>
        <v>Promoter</v>
      </c>
    </row>
    <row r="191" spans="1:15" ht="14.25" customHeight="1" x14ac:dyDescent="0.3">
      <c r="A191" s="3" t="s">
        <v>210</v>
      </c>
      <c r="B191" s="3" t="s">
        <v>1021</v>
      </c>
      <c r="C191" s="3" t="s">
        <v>16</v>
      </c>
      <c r="D191" s="13">
        <v>45935</v>
      </c>
      <c r="H191" s="3" t="s">
        <v>17</v>
      </c>
      <c r="I191" s="3" t="s">
        <v>20</v>
      </c>
      <c r="M191">
        <f t="shared" si="9"/>
        <v>0</v>
      </c>
      <c r="N191">
        <f t="shared" si="10"/>
        <v>0</v>
      </c>
      <c r="O191" t="str">
        <f t="shared" si="11"/>
        <v>Detractor</v>
      </c>
    </row>
    <row r="192" spans="1:15" ht="14.25" customHeight="1" x14ac:dyDescent="0.3">
      <c r="A192" s="3" t="s">
        <v>211</v>
      </c>
      <c r="B192" s="3" t="s">
        <v>1022</v>
      </c>
      <c r="C192" s="3" t="s">
        <v>16</v>
      </c>
      <c r="D192" s="13">
        <v>45956</v>
      </c>
      <c r="H192" s="3" t="s">
        <v>17</v>
      </c>
      <c r="I192" s="3" t="s">
        <v>18</v>
      </c>
      <c r="M192">
        <f t="shared" si="9"/>
        <v>0</v>
      </c>
      <c r="N192">
        <f t="shared" si="10"/>
        <v>0</v>
      </c>
      <c r="O192" t="str">
        <f t="shared" si="11"/>
        <v>Detractor</v>
      </c>
    </row>
    <row r="193" spans="1:15" ht="14.25" customHeight="1" x14ac:dyDescent="0.3">
      <c r="A193" s="3" t="s">
        <v>212</v>
      </c>
      <c r="B193" s="3" t="s">
        <v>1024</v>
      </c>
      <c r="C193" s="3" t="s">
        <v>12</v>
      </c>
      <c r="D193" s="13">
        <v>45949</v>
      </c>
      <c r="E193" s="13">
        <v>45954</v>
      </c>
      <c r="F193" s="13">
        <v>45958</v>
      </c>
      <c r="G193" s="13">
        <v>45962</v>
      </c>
      <c r="H193" s="3" t="s">
        <v>13</v>
      </c>
      <c r="J193" s="4">
        <v>45977</v>
      </c>
      <c r="K193" s="3">
        <v>10</v>
      </c>
      <c r="L193" s="18">
        <f t="shared" si="12"/>
        <v>5</v>
      </c>
      <c r="M193">
        <f t="shared" si="9"/>
        <v>4</v>
      </c>
      <c r="N193">
        <f t="shared" si="10"/>
        <v>4</v>
      </c>
      <c r="O193" t="str">
        <f t="shared" si="11"/>
        <v>Promoter</v>
      </c>
    </row>
    <row r="194" spans="1:15" ht="14.25" customHeight="1" x14ac:dyDescent="0.3">
      <c r="A194" s="3" t="s">
        <v>213</v>
      </c>
      <c r="B194" s="3" t="s">
        <v>1022</v>
      </c>
      <c r="C194" s="3" t="s">
        <v>12</v>
      </c>
      <c r="D194" s="13">
        <v>45961</v>
      </c>
      <c r="E194" s="13">
        <v>45965</v>
      </c>
      <c r="F194" s="13">
        <v>45970</v>
      </c>
      <c r="G194" s="13">
        <v>45972</v>
      </c>
      <c r="H194" s="3" t="s">
        <v>17</v>
      </c>
      <c r="I194" s="3" t="s">
        <v>26</v>
      </c>
      <c r="L194" s="18">
        <f t="shared" si="12"/>
        <v>4</v>
      </c>
      <c r="M194">
        <f t="shared" si="9"/>
        <v>5</v>
      </c>
      <c r="N194">
        <f t="shared" si="10"/>
        <v>2</v>
      </c>
      <c r="O194" t="str">
        <f t="shared" si="11"/>
        <v>Detractor</v>
      </c>
    </row>
    <row r="195" spans="1:15" ht="14.25" customHeight="1" x14ac:dyDescent="0.3">
      <c r="A195" s="3" t="s">
        <v>214</v>
      </c>
      <c r="B195" s="3" t="s">
        <v>1021</v>
      </c>
      <c r="C195" s="3" t="s">
        <v>12</v>
      </c>
      <c r="D195" s="13">
        <v>45940</v>
      </c>
      <c r="E195" s="13">
        <v>45944</v>
      </c>
      <c r="F195" s="13">
        <v>45949</v>
      </c>
      <c r="G195" s="13">
        <v>45954</v>
      </c>
      <c r="H195" s="3" t="s">
        <v>13</v>
      </c>
      <c r="J195" s="4">
        <v>45965</v>
      </c>
      <c r="K195" s="3">
        <v>5</v>
      </c>
      <c r="L195" s="18">
        <f t="shared" ref="L195:L258" si="13">E195-D195</f>
        <v>4</v>
      </c>
      <c r="M195">
        <f t="shared" ref="M195:M258" si="14">F195-E195</f>
        <v>5</v>
      </c>
      <c r="N195">
        <f t="shared" ref="N195:N258" si="15">G195-F195</f>
        <v>5</v>
      </c>
      <c r="O195" t="str">
        <f t="shared" ref="O195:O258" si="16">IF(K195&gt;=9,"Promoter",IF(K195&lt;=6,"Detractor","Passive"))</f>
        <v>Detractor</v>
      </c>
    </row>
    <row r="196" spans="1:15" ht="14.25" customHeight="1" x14ac:dyDescent="0.3">
      <c r="A196" s="3" t="s">
        <v>215</v>
      </c>
      <c r="B196" s="3" t="s">
        <v>1022</v>
      </c>
      <c r="C196" s="3" t="s">
        <v>12</v>
      </c>
      <c r="D196" s="13">
        <v>45933</v>
      </c>
      <c r="E196" s="13">
        <v>45936</v>
      </c>
      <c r="F196" s="13">
        <v>45940</v>
      </c>
      <c r="G196" s="13">
        <v>45942</v>
      </c>
      <c r="H196" s="3" t="s">
        <v>13</v>
      </c>
      <c r="J196" s="4">
        <v>45955</v>
      </c>
      <c r="K196" s="3">
        <v>3</v>
      </c>
      <c r="L196" s="18">
        <f t="shared" si="13"/>
        <v>3</v>
      </c>
      <c r="M196">
        <f t="shared" si="14"/>
        <v>4</v>
      </c>
      <c r="N196">
        <f t="shared" si="15"/>
        <v>2</v>
      </c>
      <c r="O196" t="str">
        <f t="shared" si="16"/>
        <v>Detractor</v>
      </c>
    </row>
    <row r="197" spans="1:15" ht="14.25" customHeight="1" x14ac:dyDescent="0.3">
      <c r="A197" s="3" t="s">
        <v>216</v>
      </c>
      <c r="B197" s="3" t="s">
        <v>1021</v>
      </c>
      <c r="C197" s="3" t="s">
        <v>12</v>
      </c>
      <c r="D197" s="13">
        <v>45938</v>
      </c>
      <c r="E197" s="13">
        <v>45939</v>
      </c>
      <c r="F197" s="13">
        <v>45941</v>
      </c>
      <c r="G197" s="13">
        <v>45944</v>
      </c>
      <c r="H197" s="3" t="s">
        <v>13</v>
      </c>
      <c r="J197" s="4">
        <v>45964</v>
      </c>
      <c r="K197" s="3">
        <v>9</v>
      </c>
      <c r="L197" s="18">
        <f t="shared" si="13"/>
        <v>1</v>
      </c>
      <c r="M197">
        <f t="shared" si="14"/>
        <v>2</v>
      </c>
      <c r="N197">
        <f t="shared" si="15"/>
        <v>3</v>
      </c>
      <c r="O197" t="str">
        <f t="shared" si="16"/>
        <v>Promoter</v>
      </c>
    </row>
    <row r="198" spans="1:15" ht="14.25" customHeight="1" x14ac:dyDescent="0.3">
      <c r="A198" s="3" t="s">
        <v>217</v>
      </c>
      <c r="B198" s="3" t="s">
        <v>1022</v>
      </c>
      <c r="C198" s="3" t="s">
        <v>24</v>
      </c>
      <c r="D198" s="13">
        <v>45934</v>
      </c>
      <c r="E198" s="13">
        <v>45938</v>
      </c>
      <c r="F198" s="13">
        <v>45943</v>
      </c>
      <c r="G198" s="13">
        <v>45946</v>
      </c>
      <c r="H198" s="3" t="s">
        <v>13</v>
      </c>
      <c r="J198" s="4">
        <v>45962</v>
      </c>
      <c r="K198" s="3">
        <v>10</v>
      </c>
      <c r="L198" s="18">
        <f t="shared" si="13"/>
        <v>4</v>
      </c>
      <c r="M198">
        <f t="shared" si="14"/>
        <v>5</v>
      </c>
      <c r="N198">
        <f t="shared" si="15"/>
        <v>3</v>
      </c>
      <c r="O198" t="str">
        <f t="shared" si="16"/>
        <v>Promoter</v>
      </c>
    </row>
    <row r="199" spans="1:15" ht="14.25" customHeight="1" x14ac:dyDescent="0.3">
      <c r="A199" s="3" t="s">
        <v>218</v>
      </c>
      <c r="B199" s="3" t="s">
        <v>1021</v>
      </c>
      <c r="C199" s="3" t="s">
        <v>16</v>
      </c>
      <c r="D199" s="13">
        <v>45948</v>
      </c>
      <c r="H199" s="3" t="s">
        <v>17</v>
      </c>
      <c r="I199" s="3" t="s">
        <v>26</v>
      </c>
      <c r="M199">
        <f t="shared" si="14"/>
        <v>0</v>
      </c>
      <c r="N199">
        <f t="shared" si="15"/>
        <v>0</v>
      </c>
      <c r="O199" t="str">
        <f t="shared" si="16"/>
        <v>Detractor</v>
      </c>
    </row>
    <row r="200" spans="1:15" ht="14.25" customHeight="1" x14ac:dyDescent="0.3">
      <c r="A200" s="3" t="s">
        <v>219</v>
      </c>
      <c r="B200" s="3" t="s">
        <v>1021</v>
      </c>
      <c r="C200" s="3" t="s">
        <v>12</v>
      </c>
      <c r="D200" s="13">
        <v>45955</v>
      </c>
      <c r="E200" s="13">
        <v>45956</v>
      </c>
      <c r="F200" s="13">
        <v>45960</v>
      </c>
      <c r="G200" s="13">
        <v>45967</v>
      </c>
      <c r="H200" s="3" t="s">
        <v>13</v>
      </c>
      <c r="J200" s="4">
        <v>45983</v>
      </c>
      <c r="K200" s="3">
        <v>8</v>
      </c>
      <c r="L200" s="18">
        <f t="shared" si="13"/>
        <v>1</v>
      </c>
      <c r="M200">
        <f t="shared" si="14"/>
        <v>4</v>
      </c>
      <c r="N200">
        <f t="shared" si="15"/>
        <v>7</v>
      </c>
      <c r="O200" t="str">
        <f t="shared" si="16"/>
        <v>Passive</v>
      </c>
    </row>
    <row r="201" spans="1:15" ht="14.25" customHeight="1" x14ac:dyDescent="0.3">
      <c r="A201" s="3" t="s">
        <v>220</v>
      </c>
      <c r="B201" s="3" t="s">
        <v>1021</v>
      </c>
      <c r="C201" s="3" t="s">
        <v>16</v>
      </c>
      <c r="D201" s="13">
        <v>45944</v>
      </c>
      <c r="H201" s="3" t="s">
        <v>17</v>
      </c>
      <c r="I201" s="3" t="s">
        <v>20</v>
      </c>
      <c r="M201">
        <f t="shared" si="14"/>
        <v>0</v>
      </c>
      <c r="N201">
        <f t="shared" si="15"/>
        <v>0</v>
      </c>
      <c r="O201" t="str">
        <f t="shared" si="16"/>
        <v>Detractor</v>
      </c>
    </row>
    <row r="202" spans="1:15" ht="14.25" customHeight="1" x14ac:dyDescent="0.3">
      <c r="A202" s="3" t="s">
        <v>221</v>
      </c>
      <c r="B202" s="3" t="s">
        <v>1024</v>
      </c>
      <c r="C202" s="3" t="s">
        <v>24</v>
      </c>
      <c r="D202" s="13">
        <v>45950</v>
      </c>
      <c r="E202" s="13">
        <v>45953</v>
      </c>
      <c r="F202" s="13">
        <v>45956</v>
      </c>
      <c r="G202" s="13">
        <v>45962</v>
      </c>
      <c r="H202" s="3" t="s">
        <v>13</v>
      </c>
      <c r="J202" s="4">
        <v>45985</v>
      </c>
      <c r="K202" s="3">
        <v>6</v>
      </c>
      <c r="L202" s="18">
        <f t="shared" si="13"/>
        <v>3</v>
      </c>
      <c r="M202">
        <f t="shared" si="14"/>
        <v>3</v>
      </c>
      <c r="N202">
        <f t="shared" si="15"/>
        <v>6</v>
      </c>
      <c r="O202" t="str">
        <f t="shared" si="16"/>
        <v>Detractor</v>
      </c>
    </row>
    <row r="203" spans="1:15" ht="14.25" customHeight="1" x14ac:dyDescent="0.3">
      <c r="A203" s="3" t="s">
        <v>222</v>
      </c>
      <c r="B203" s="3" t="s">
        <v>1022</v>
      </c>
      <c r="C203" s="3" t="s">
        <v>24</v>
      </c>
      <c r="D203" s="13">
        <v>45950</v>
      </c>
      <c r="E203" s="13">
        <v>45952</v>
      </c>
      <c r="F203" s="13">
        <v>45954</v>
      </c>
      <c r="G203" s="13">
        <v>45961</v>
      </c>
      <c r="H203" s="3" t="s">
        <v>13</v>
      </c>
      <c r="J203" s="4">
        <v>45988</v>
      </c>
      <c r="K203" s="3">
        <v>2</v>
      </c>
      <c r="L203" s="18">
        <f t="shared" si="13"/>
        <v>2</v>
      </c>
      <c r="M203">
        <f t="shared" si="14"/>
        <v>2</v>
      </c>
      <c r="N203">
        <f t="shared" si="15"/>
        <v>7</v>
      </c>
      <c r="O203" t="str">
        <f t="shared" si="16"/>
        <v>Detractor</v>
      </c>
    </row>
    <row r="204" spans="1:15" ht="14.25" customHeight="1" x14ac:dyDescent="0.3">
      <c r="A204" s="3" t="s">
        <v>223</v>
      </c>
      <c r="B204" s="3" t="s">
        <v>1022</v>
      </c>
      <c r="C204" s="3" t="s">
        <v>24</v>
      </c>
      <c r="D204" s="13">
        <v>45956</v>
      </c>
      <c r="E204" s="13">
        <v>45961</v>
      </c>
      <c r="F204" s="13">
        <v>45962</v>
      </c>
      <c r="G204" s="13">
        <v>45966</v>
      </c>
      <c r="H204" s="3" t="s">
        <v>13</v>
      </c>
      <c r="J204" s="4">
        <v>45993</v>
      </c>
      <c r="K204" s="3">
        <v>2</v>
      </c>
      <c r="L204" s="18">
        <f t="shared" si="13"/>
        <v>5</v>
      </c>
      <c r="M204">
        <f t="shared" si="14"/>
        <v>1</v>
      </c>
      <c r="N204">
        <f t="shared" si="15"/>
        <v>4</v>
      </c>
      <c r="O204" t="str">
        <f t="shared" si="16"/>
        <v>Detractor</v>
      </c>
    </row>
    <row r="205" spans="1:15" ht="14.25" customHeight="1" x14ac:dyDescent="0.3">
      <c r="A205" s="3" t="s">
        <v>224</v>
      </c>
      <c r="B205" s="3" t="s">
        <v>1022</v>
      </c>
      <c r="C205" s="3" t="s">
        <v>12</v>
      </c>
      <c r="D205" s="13">
        <v>45950</v>
      </c>
      <c r="E205" s="13">
        <v>45954</v>
      </c>
      <c r="F205" s="13">
        <v>45957</v>
      </c>
      <c r="G205" s="13">
        <v>45964</v>
      </c>
      <c r="H205" s="3" t="s">
        <v>13</v>
      </c>
      <c r="J205" s="4">
        <v>45982</v>
      </c>
      <c r="K205" s="3">
        <v>9</v>
      </c>
      <c r="L205" s="18">
        <f t="shared" si="13"/>
        <v>4</v>
      </c>
      <c r="M205">
        <f t="shared" si="14"/>
        <v>3</v>
      </c>
      <c r="N205">
        <f t="shared" si="15"/>
        <v>7</v>
      </c>
      <c r="O205" t="str">
        <f t="shared" si="16"/>
        <v>Promoter</v>
      </c>
    </row>
    <row r="206" spans="1:15" ht="14.25" customHeight="1" x14ac:dyDescent="0.3">
      <c r="A206" s="3" t="s">
        <v>225</v>
      </c>
      <c r="B206" s="3" t="s">
        <v>1021</v>
      </c>
      <c r="C206" s="3" t="s">
        <v>16</v>
      </c>
      <c r="D206" s="13">
        <v>45938</v>
      </c>
      <c r="H206" s="3" t="s">
        <v>17</v>
      </c>
      <c r="I206" s="3" t="s">
        <v>56</v>
      </c>
      <c r="M206">
        <f t="shared" si="14"/>
        <v>0</v>
      </c>
      <c r="N206">
        <f t="shared" si="15"/>
        <v>0</v>
      </c>
      <c r="O206" t="str">
        <f t="shared" si="16"/>
        <v>Detractor</v>
      </c>
    </row>
    <row r="207" spans="1:15" ht="14.25" customHeight="1" x14ac:dyDescent="0.3">
      <c r="A207" s="3" t="s">
        <v>226</v>
      </c>
      <c r="B207" s="3" t="s">
        <v>1022</v>
      </c>
      <c r="C207" s="3" t="s">
        <v>24</v>
      </c>
      <c r="D207" s="13">
        <v>45955</v>
      </c>
      <c r="E207" s="13">
        <v>45958</v>
      </c>
      <c r="F207" s="13">
        <v>45960</v>
      </c>
      <c r="G207" s="13">
        <v>45966</v>
      </c>
      <c r="H207" s="3" t="s">
        <v>13</v>
      </c>
      <c r="J207" s="4">
        <v>45985</v>
      </c>
      <c r="K207" s="3">
        <v>2</v>
      </c>
      <c r="L207" s="18">
        <f t="shared" si="13"/>
        <v>3</v>
      </c>
      <c r="M207">
        <f t="shared" si="14"/>
        <v>2</v>
      </c>
      <c r="N207">
        <f t="shared" si="15"/>
        <v>6</v>
      </c>
      <c r="O207" t="str">
        <f t="shared" si="16"/>
        <v>Detractor</v>
      </c>
    </row>
    <row r="208" spans="1:15" ht="14.25" customHeight="1" x14ac:dyDescent="0.3">
      <c r="A208" s="3" t="s">
        <v>227</v>
      </c>
      <c r="B208" s="3" t="s">
        <v>1022</v>
      </c>
      <c r="C208" s="3" t="s">
        <v>16</v>
      </c>
      <c r="D208" s="13">
        <v>45947</v>
      </c>
      <c r="H208" s="3" t="s">
        <v>17</v>
      </c>
      <c r="I208" s="3" t="s">
        <v>56</v>
      </c>
      <c r="M208">
        <f t="shared" si="14"/>
        <v>0</v>
      </c>
      <c r="N208">
        <f t="shared" si="15"/>
        <v>0</v>
      </c>
      <c r="O208" t="str">
        <f t="shared" si="16"/>
        <v>Detractor</v>
      </c>
    </row>
    <row r="209" spans="1:15" ht="14.25" customHeight="1" x14ac:dyDescent="0.3">
      <c r="A209" s="3" t="s">
        <v>228</v>
      </c>
      <c r="B209" s="3" t="s">
        <v>1021</v>
      </c>
      <c r="C209" s="3" t="s">
        <v>12</v>
      </c>
      <c r="D209" s="13">
        <v>45943</v>
      </c>
      <c r="E209" s="13">
        <v>45944</v>
      </c>
      <c r="F209" s="13">
        <v>45948</v>
      </c>
      <c r="G209" s="13">
        <v>45955</v>
      </c>
      <c r="H209" s="3" t="s">
        <v>13</v>
      </c>
      <c r="J209" s="4">
        <v>45974</v>
      </c>
      <c r="K209" s="3">
        <v>7</v>
      </c>
      <c r="L209" s="18">
        <f t="shared" si="13"/>
        <v>1</v>
      </c>
      <c r="M209">
        <f t="shared" si="14"/>
        <v>4</v>
      </c>
      <c r="N209">
        <f t="shared" si="15"/>
        <v>7</v>
      </c>
      <c r="O209" t="str">
        <f t="shared" si="16"/>
        <v>Passive</v>
      </c>
    </row>
    <row r="210" spans="1:15" ht="14.25" customHeight="1" x14ac:dyDescent="0.3">
      <c r="A210" s="3" t="s">
        <v>229</v>
      </c>
      <c r="B210" s="3" t="s">
        <v>1023</v>
      </c>
      <c r="C210" s="3" t="s">
        <v>16</v>
      </c>
      <c r="D210" s="13">
        <v>45945</v>
      </c>
      <c r="H210" s="3" t="s">
        <v>17</v>
      </c>
      <c r="I210" s="3" t="s">
        <v>94</v>
      </c>
      <c r="M210">
        <f t="shared" si="14"/>
        <v>0</v>
      </c>
      <c r="N210">
        <f t="shared" si="15"/>
        <v>0</v>
      </c>
      <c r="O210" t="str">
        <f t="shared" si="16"/>
        <v>Detractor</v>
      </c>
    </row>
    <row r="211" spans="1:15" ht="14.25" customHeight="1" x14ac:dyDescent="0.3">
      <c r="A211" s="3" t="s">
        <v>230</v>
      </c>
      <c r="B211" s="3" t="s">
        <v>1021</v>
      </c>
      <c r="C211" s="3" t="s">
        <v>24</v>
      </c>
      <c r="D211" s="13">
        <v>45960</v>
      </c>
      <c r="E211" s="13">
        <v>45964</v>
      </c>
      <c r="F211" s="13">
        <v>45967</v>
      </c>
      <c r="G211" s="13">
        <v>45972</v>
      </c>
      <c r="H211" s="3" t="s">
        <v>13</v>
      </c>
      <c r="J211" s="4">
        <v>45989</v>
      </c>
      <c r="K211" s="3">
        <v>9</v>
      </c>
      <c r="L211" s="18">
        <f t="shared" si="13"/>
        <v>4</v>
      </c>
      <c r="M211">
        <f t="shared" si="14"/>
        <v>3</v>
      </c>
      <c r="N211">
        <f t="shared" si="15"/>
        <v>5</v>
      </c>
      <c r="O211" t="str">
        <f t="shared" si="16"/>
        <v>Promoter</v>
      </c>
    </row>
    <row r="212" spans="1:15" ht="14.25" customHeight="1" x14ac:dyDescent="0.3">
      <c r="A212" s="3" t="s">
        <v>231</v>
      </c>
      <c r="B212" s="3" t="s">
        <v>1022</v>
      </c>
      <c r="C212" s="3" t="s">
        <v>16</v>
      </c>
      <c r="D212" s="13">
        <v>45945</v>
      </c>
      <c r="H212" s="3" t="s">
        <v>17</v>
      </c>
      <c r="I212" s="3" t="s">
        <v>94</v>
      </c>
      <c r="M212">
        <f t="shared" si="14"/>
        <v>0</v>
      </c>
      <c r="N212">
        <f t="shared" si="15"/>
        <v>0</v>
      </c>
      <c r="O212" t="str">
        <f t="shared" si="16"/>
        <v>Detractor</v>
      </c>
    </row>
    <row r="213" spans="1:15" ht="14.25" customHeight="1" x14ac:dyDescent="0.3">
      <c r="A213" s="3" t="s">
        <v>232</v>
      </c>
      <c r="B213" s="3" t="s">
        <v>1021</v>
      </c>
      <c r="C213" s="3" t="s">
        <v>12</v>
      </c>
      <c r="D213" s="13">
        <v>45940</v>
      </c>
      <c r="E213" s="13">
        <v>45941</v>
      </c>
      <c r="F213" s="13">
        <v>45943</v>
      </c>
      <c r="G213" s="13">
        <v>45946</v>
      </c>
      <c r="H213" s="3" t="s">
        <v>17</v>
      </c>
      <c r="I213" s="3" t="s">
        <v>18</v>
      </c>
      <c r="L213" s="18">
        <f t="shared" si="13"/>
        <v>1</v>
      </c>
      <c r="M213">
        <f t="shared" si="14"/>
        <v>2</v>
      </c>
      <c r="N213">
        <f t="shared" si="15"/>
        <v>3</v>
      </c>
      <c r="O213" t="str">
        <f t="shared" si="16"/>
        <v>Detractor</v>
      </c>
    </row>
    <row r="214" spans="1:15" ht="14.25" customHeight="1" x14ac:dyDescent="0.3">
      <c r="A214" s="3" t="s">
        <v>233</v>
      </c>
      <c r="B214" s="3" t="s">
        <v>1023</v>
      </c>
      <c r="C214" s="3" t="s">
        <v>24</v>
      </c>
      <c r="D214" s="13">
        <v>45958</v>
      </c>
      <c r="E214" s="13">
        <v>45960</v>
      </c>
      <c r="F214" s="13">
        <v>45961</v>
      </c>
      <c r="G214" s="13">
        <v>45967</v>
      </c>
      <c r="H214" s="3" t="s">
        <v>13</v>
      </c>
      <c r="J214" s="4">
        <v>45980</v>
      </c>
      <c r="K214" s="3">
        <v>4</v>
      </c>
      <c r="L214" s="18">
        <f t="shared" si="13"/>
        <v>2</v>
      </c>
      <c r="M214">
        <f t="shared" si="14"/>
        <v>1</v>
      </c>
      <c r="N214">
        <f t="shared" si="15"/>
        <v>6</v>
      </c>
      <c r="O214" t="str">
        <f t="shared" si="16"/>
        <v>Detractor</v>
      </c>
    </row>
    <row r="215" spans="1:15" ht="14.25" customHeight="1" x14ac:dyDescent="0.3">
      <c r="A215" s="3" t="s">
        <v>234</v>
      </c>
      <c r="B215" s="3" t="s">
        <v>1021</v>
      </c>
      <c r="C215" s="3" t="s">
        <v>24</v>
      </c>
      <c r="D215" s="13">
        <v>45949</v>
      </c>
      <c r="E215" s="13">
        <v>45953</v>
      </c>
      <c r="F215" s="13">
        <v>45956</v>
      </c>
      <c r="G215" s="13">
        <v>45959</v>
      </c>
      <c r="H215" s="3" t="s">
        <v>13</v>
      </c>
      <c r="J215" s="4">
        <v>45970</v>
      </c>
      <c r="K215" s="3">
        <v>2</v>
      </c>
      <c r="L215" s="18">
        <f t="shared" si="13"/>
        <v>4</v>
      </c>
      <c r="M215">
        <f t="shared" si="14"/>
        <v>3</v>
      </c>
      <c r="N215">
        <f t="shared" si="15"/>
        <v>3</v>
      </c>
      <c r="O215" t="str">
        <f t="shared" si="16"/>
        <v>Detractor</v>
      </c>
    </row>
    <row r="216" spans="1:15" ht="14.25" customHeight="1" x14ac:dyDescent="0.3">
      <c r="A216" s="3" t="s">
        <v>235</v>
      </c>
      <c r="B216" s="3" t="s">
        <v>1022</v>
      </c>
      <c r="C216" s="3" t="s">
        <v>16</v>
      </c>
      <c r="D216" s="13">
        <v>45944</v>
      </c>
      <c r="H216" s="3" t="s">
        <v>17</v>
      </c>
      <c r="I216" s="3" t="s">
        <v>20</v>
      </c>
      <c r="M216">
        <f t="shared" si="14"/>
        <v>0</v>
      </c>
      <c r="N216">
        <f t="shared" si="15"/>
        <v>0</v>
      </c>
      <c r="O216" t="str">
        <f t="shared" si="16"/>
        <v>Detractor</v>
      </c>
    </row>
    <row r="217" spans="1:15" ht="14.25" customHeight="1" x14ac:dyDescent="0.3">
      <c r="A217" s="3" t="s">
        <v>236</v>
      </c>
      <c r="B217" s="3" t="s">
        <v>1023</v>
      </c>
      <c r="C217" s="3" t="s">
        <v>16</v>
      </c>
      <c r="D217" s="13">
        <v>45940</v>
      </c>
      <c r="H217" s="3" t="s">
        <v>17</v>
      </c>
      <c r="I217" s="3" t="s">
        <v>94</v>
      </c>
      <c r="M217">
        <f t="shared" si="14"/>
        <v>0</v>
      </c>
      <c r="N217">
        <f t="shared" si="15"/>
        <v>0</v>
      </c>
      <c r="O217" t="str">
        <f t="shared" si="16"/>
        <v>Detractor</v>
      </c>
    </row>
    <row r="218" spans="1:15" ht="14.25" customHeight="1" x14ac:dyDescent="0.3">
      <c r="A218" s="3" t="s">
        <v>237</v>
      </c>
      <c r="B218" s="3" t="s">
        <v>1024</v>
      </c>
      <c r="C218" s="3" t="s">
        <v>24</v>
      </c>
      <c r="D218" s="13">
        <v>45949</v>
      </c>
      <c r="E218" s="13">
        <v>45954</v>
      </c>
      <c r="F218" s="13">
        <v>45957</v>
      </c>
      <c r="G218" s="13">
        <v>45960</v>
      </c>
      <c r="H218" s="3" t="s">
        <v>13</v>
      </c>
      <c r="J218" s="4">
        <v>45982</v>
      </c>
      <c r="K218" s="3">
        <v>0</v>
      </c>
      <c r="L218" s="18">
        <f t="shared" si="13"/>
        <v>5</v>
      </c>
      <c r="M218">
        <f t="shared" si="14"/>
        <v>3</v>
      </c>
      <c r="N218">
        <f t="shared" si="15"/>
        <v>3</v>
      </c>
      <c r="O218" t="str">
        <f t="shared" si="16"/>
        <v>Detractor</v>
      </c>
    </row>
    <row r="219" spans="1:15" ht="14.25" customHeight="1" x14ac:dyDescent="0.3">
      <c r="A219" s="3" t="s">
        <v>238</v>
      </c>
      <c r="B219" s="3" t="s">
        <v>1022</v>
      </c>
      <c r="C219" s="3" t="s">
        <v>12</v>
      </c>
      <c r="D219" s="13">
        <v>45950</v>
      </c>
      <c r="E219" s="13">
        <v>45954</v>
      </c>
      <c r="F219" s="13">
        <v>45959</v>
      </c>
      <c r="G219" s="13">
        <v>45962</v>
      </c>
      <c r="H219" s="3" t="s">
        <v>17</v>
      </c>
      <c r="I219" s="3" t="s">
        <v>94</v>
      </c>
      <c r="L219" s="18">
        <f t="shared" si="13"/>
        <v>4</v>
      </c>
      <c r="M219">
        <f t="shared" si="14"/>
        <v>5</v>
      </c>
      <c r="N219">
        <f t="shared" si="15"/>
        <v>3</v>
      </c>
      <c r="O219" t="str">
        <f t="shared" si="16"/>
        <v>Detractor</v>
      </c>
    </row>
    <row r="220" spans="1:15" ht="14.25" customHeight="1" x14ac:dyDescent="0.3">
      <c r="A220" s="3" t="s">
        <v>239</v>
      </c>
      <c r="B220" s="3" t="s">
        <v>1023</v>
      </c>
      <c r="C220" s="3" t="s">
        <v>16</v>
      </c>
      <c r="D220" s="13">
        <v>45932</v>
      </c>
      <c r="H220" s="3" t="s">
        <v>17</v>
      </c>
      <c r="I220" s="3" t="s">
        <v>20</v>
      </c>
      <c r="M220">
        <f t="shared" si="14"/>
        <v>0</v>
      </c>
      <c r="N220">
        <f t="shared" si="15"/>
        <v>0</v>
      </c>
      <c r="O220" t="str">
        <f t="shared" si="16"/>
        <v>Detractor</v>
      </c>
    </row>
    <row r="221" spans="1:15" ht="14.25" customHeight="1" x14ac:dyDescent="0.3">
      <c r="A221" s="3" t="s">
        <v>240</v>
      </c>
      <c r="B221" s="3" t="s">
        <v>1023</v>
      </c>
      <c r="C221" s="3" t="s">
        <v>16</v>
      </c>
      <c r="D221" s="13">
        <v>45950</v>
      </c>
      <c r="H221" s="3" t="s">
        <v>17</v>
      </c>
      <c r="I221" s="3" t="s">
        <v>18</v>
      </c>
      <c r="M221">
        <f t="shared" si="14"/>
        <v>0</v>
      </c>
      <c r="N221">
        <f t="shared" si="15"/>
        <v>0</v>
      </c>
      <c r="O221" t="str">
        <f t="shared" si="16"/>
        <v>Detractor</v>
      </c>
    </row>
    <row r="222" spans="1:15" ht="14.25" customHeight="1" x14ac:dyDescent="0.3">
      <c r="A222" s="3" t="s">
        <v>241</v>
      </c>
      <c r="B222" s="3" t="s">
        <v>1024</v>
      </c>
      <c r="C222" s="3" t="s">
        <v>16</v>
      </c>
      <c r="D222" s="13">
        <v>45961</v>
      </c>
      <c r="H222" s="3" t="s">
        <v>17</v>
      </c>
      <c r="I222" s="3" t="s">
        <v>94</v>
      </c>
      <c r="M222">
        <f t="shared" si="14"/>
        <v>0</v>
      </c>
      <c r="N222">
        <f t="shared" si="15"/>
        <v>0</v>
      </c>
      <c r="O222" t="str">
        <f t="shared" si="16"/>
        <v>Detractor</v>
      </c>
    </row>
    <row r="223" spans="1:15" ht="14.25" customHeight="1" x14ac:dyDescent="0.3">
      <c r="A223" s="3" t="s">
        <v>242</v>
      </c>
      <c r="B223" s="3" t="s">
        <v>1021</v>
      </c>
      <c r="C223" s="3" t="s">
        <v>12</v>
      </c>
      <c r="D223" s="13">
        <v>45954</v>
      </c>
      <c r="E223" s="13">
        <v>45959</v>
      </c>
      <c r="F223" s="13">
        <v>45961</v>
      </c>
      <c r="G223" s="13">
        <v>45963</v>
      </c>
      <c r="H223" s="3" t="s">
        <v>13</v>
      </c>
      <c r="J223" s="4">
        <v>45991</v>
      </c>
      <c r="K223" s="3">
        <v>3</v>
      </c>
      <c r="L223" s="18">
        <f t="shared" si="13"/>
        <v>5</v>
      </c>
      <c r="M223">
        <f t="shared" si="14"/>
        <v>2</v>
      </c>
      <c r="N223">
        <f t="shared" si="15"/>
        <v>2</v>
      </c>
      <c r="O223" t="str">
        <f t="shared" si="16"/>
        <v>Detractor</v>
      </c>
    </row>
    <row r="224" spans="1:15" ht="14.25" customHeight="1" x14ac:dyDescent="0.3">
      <c r="A224" s="3" t="s">
        <v>243</v>
      </c>
      <c r="B224" s="3" t="s">
        <v>1021</v>
      </c>
      <c r="C224" s="3" t="s">
        <v>12</v>
      </c>
      <c r="D224" s="13">
        <v>45934</v>
      </c>
      <c r="E224" s="13">
        <v>45935</v>
      </c>
      <c r="F224" s="13">
        <v>45937</v>
      </c>
      <c r="G224" s="13">
        <v>45943</v>
      </c>
      <c r="H224" s="3" t="s">
        <v>13</v>
      </c>
      <c r="J224" s="4">
        <v>45970</v>
      </c>
      <c r="K224" s="3">
        <v>1</v>
      </c>
      <c r="L224" s="18">
        <f t="shared" si="13"/>
        <v>1</v>
      </c>
      <c r="M224">
        <f t="shared" si="14"/>
        <v>2</v>
      </c>
      <c r="N224">
        <f t="shared" si="15"/>
        <v>6</v>
      </c>
      <c r="O224" t="str">
        <f t="shared" si="16"/>
        <v>Detractor</v>
      </c>
    </row>
    <row r="225" spans="1:15" ht="14.25" customHeight="1" x14ac:dyDescent="0.3">
      <c r="A225" s="3" t="s">
        <v>244</v>
      </c>
      <c r="B225" s="3" t="s">
        <v>1022</v>
      </c>
      <c r="C225" s="3" t="s">
        <v>12</v>
      </c>
      <c r="D225" s="13">
        <v>45961</v>
      </c>
      <c r="E225" s="13">
        <v>45965</v>
      </c>
      <c r="F225" s="13">
        <v>45970</v>
      </c>
      <c r="G225" s="13">
        <v>45974</v>
      </c>
      <c r="H225" s="3" t="s">
        <v>13</v>
      </c>
      <c r="J225" s="4">
        <v>45999</v>
      </c>
      <c r="K225" s="3">
        <v>7</v>
      </c>
      <c r="L225" s="18">
        <f t="shared" si="13"/>
        <v>4</v>
      </c>
      <c r="M225">
        <f t="shared" si="14"/>
        <v>5</v>
      </c>
      <c r="N225">
        <f t="shared" si="15"/>
        <v>4</v>
      </c>
      <c r="O225" t="str">
        <f t="shared" si="16"/>
        <v>Passive</v>
      </c>
    </row>
    <row r="226" spans="1:15" ht="14.25" customHeight="1" x14ac:dyDescent="0.3">
      <c r="A226" s="3" t="s">
        <v>245</v>
      </c>
      <c r="B226" s="3" t="s">
        <v>1024</v>
      </c>
      <c r="C226" s="3" t="s">
        <v>12</v>
      </c>
      <c r="D226" s="13">
        <v>45955</v>
      </c>
      <c r="E226" s="13">
        <v>45958</v>
      </c>
      <c r="F226" s="13">
        <v>45962</v>
      </c>
      <c r="G226" s="13">
        <v>45968</v>
      </c>
      <c r="H226" s="3" t="s">
        <v>13</v>
      </c>
      <c r="J226" s="4">
        <v>45982</v>
      </c>
      <c r="K226" s="3">
        <v>3</v>
      </c>
      <c r="L226" s="18">
        <f t="shared" si="13"/>
        <v>3</v>
      </c>
      <c r="M226">
        <f t="shared" si="14"/>
        <v>4</v>
      </c>
      <c r="N226">
        <f t="shared" si="15"/>
        <v>6</v>
      </c>
      <c r="O226" t="str">
        <f t="shared" si="16"/>
        <v>Detractor</v>
      </c>
    </row>
    <row r="227" spans="1:15" ht="14.25" customHeight="1" x14ac:dyDescent="0.3">
      <c r="A227" s="3" t="s">
        <v>246</v>
      </c>
      <c r="B227" s="3" t="s">
        <v>1021</v>
      </c>
      <c r="C227" s="3" t="s">
        <v>12</v>
      </c>
      <c r="D227" s="13">
        <v>45937</v>
      </c>
      <c r="E227" s="13">
        <v>45940</v>
      </c>
      <c r="F227" s="13">
        <v>45944</v>
      </c>
      <c r="G227" s="13">
        <v>45948</v>
      </c>
      <c r="H227" s="3" t="s">
        <v>17</v>
      </c>
      <c r="I227" s="3" t="s">
        <v>18</v>
      </c>
      <c r="L227" s="18">
        <f t="shared" si="13"/>
        <v>3</v>
      </c>
      <c r="M227">
        <f t="shared" si="14"/>
        <v>4</v>
      </c>
      <c r="N227">
        <f t="shared" si="15"/>
        <v>4</v>
      </c>
      <c r="O227" t="str">
        <f t="shared" si="16"/>
        <v>Detractor</v>
      </c>
    </row>
    <row r="228" spans="1:15" ht="14.25" customHeight="1" x14ac:dyDescent="0.3">
      <c r="A228" s="3" t="s">
        <v>247</v>
      </c>
      <c r="B228" s="3" t="s">
        <v>1024</v>
      </c>
      <c r="C228" s="3" t="s">
        <v>12</v>
      </c>
      <c r="D228" s="13">
        <v>45951</v>
      </c>
      <c r="E228" s="13">
        <v>45953</v>
      </c>
      <c r="F228" s="13">
        <v>45958</v>
      </c>
      <c r="G228" s="13">
        <v>45964</v>
      </c>
      <c r="H228" s="3" t="s">
        <v>17</v>
      </c>
      <c r="I228" s="3" t="s">
        <v>26</v>
      </c>
      <c r="L228" s="18">
        <f t="shared" si="13"/>
        <v>2</v>
      </c>
      <c r="M228">
        <f t="shared" si="14"/>
        <v>5</v>
      </c>
      <c r="N228">
        <f t="shared" si="15"/>
        <v>6</v>
      </c>
      <c r="O228" t="str">
        <f t="shared" si="16"/>
        <v>Detractor</v>
      </c>
    </row>
    <row r="229" spans="1:15" ht="14.25" customHeight="1" x14ac:dyDescent="0.3">
      <c r="A229" s="3" t="s">
        <v>248</v>
      </c>
      <c r="B229" s="3" t="s">
        <v>1021</v>
      </c>
      <c r="C229" s="3" t="s">
        <v>24</v>
      </c>
      <c r="D229" s="13">
        <v>45937</v>
      </c>
      <c r="E229" s="13">
        <v>45940</v>
      </c>
      <c r="F229" s="13">
        <v>45943</v>
      </c>
      <c r="G229" s="13">
        <v>45949</v>
      </c>
      <c r="H229" s="3" t="s">
        <v>13</v>
      </c>
      <c r="J229" s="4">
        <v>45960</v>
      </c>
      <c r="K229" s="3">
        <v>4</v>
      </c>
      <c r="L229" s="18">
        <f t="shared" si="13"/>
        <v>3</v>
      </c>
      <c r="M229">
        <f t="shared" si="14"/>
        <v>3</v>
      </c>
      <c r="N229">
        <f t="shared" si="15"/>
        <v>6</v>
      </c>
      <c r="O229" t="str">
        <f t="shared" si="16"/>
        <v>Detractor</v>
      </c>
    </row>
    <row r="230" spans="1:15" ht="14.25" customHeight="1" x14ac:dyDescent="0.3">
      <c r="A230" s="3" t="s">
        <v>249</v>
      </c>
      <c r="B230" s="3" t="s">
        <v>1023</v>
      </c>
      <c r="C230" s="3" t="s">
        <v>16</v>
      </c>
      <c r="D230" s="13">
        <v>45939</v>
      </c>
      <c r="H230" s="3" t="s">
        <v>17</v>
      </c>
      <c r="I230" s="3" t="s">
        <v>18</v>
      </c>
      <c r="M230">
        <f t="shared" si="14"/>
        <v>0</v>
      </c>
      <c r="N230">
        <f t="shared" si="15"/>
        <v>0</v>
      </c>
      <c r="O230" t="str">
        <f t="shared" si="16"/>
        <v>Detractor</v>
      </c>
    </row>
    <row r="231" spans="1:15" ht="14.25" customHeight="1" x14ac:dyDescent="0.3">
      <c r="A231" s="3" t="s">
        <v>250</v>
      </c>
      <c r="B231" s="3" t="s">
        <v>1021</v>
      </c>
      <c r="C231" s="3" t="s">
        <v>12</v>
      </c>
      <c r="D231" s="13">
        <v>45952</v>
      </c>
      <c r="E231" s="13">
        <v>45954</v>
      </c>
      <c r="F231" s="13">
        <v>45955</v>
      </c>
      <c r="G231" s="13">
        <v>45958</v>
      </c>
      <c r="H231" s="3" t="s">
        <v>13</v>
      </c>
      <c r="J231" s="4">
        <v>45979</v>
      </c>
      <c r="K231" s="3">
        <v>2</v>
      </c>
      <c r="L231" s="18">
        <f t="shared" si="13"/>
        <v>2</v>
      </c>
      <c r="M231">
        <f t="shared" si="14"/>
        <v>1</v>
      </c>
      <c r="N231">
        <f t="shared" si="15"/>
        <v>3</v>
      </c>
      <c r="O231" t="str">
        <f t="shared" si="16"/>
        <v>Detractor</v>
      </c>
    </row>
    <row r="232" spans="1:15" ht="14.25" customHeight="1" x14ac:dyDescent="0.3">
      <c r="A232" s="3" t="s">
        <v>251</v>
      </c>
      <c r="B232" s="3" t="s">
        <v>1024</v>
      </c>
      <c r="C232" s="3" t="s">
        <v>12</v>
      </c>
      <c r="D232" s="13">
        <v>45933</v>
      </c>
      <c r="E232" s="13">
        <v>45934</v>
      </c>
      <c r="F232" s="13">
        <v>45938</v>
      </c>
      <c r="G232" s="13">
        <v>45942</v>
      </c>
      <c r="H232" s="3" t="s">
        <v>13</v>
      </c>
      <c r="J232" s="4">
        <v>45952</v>
      </c>
      <c r="K232" s="3">
        <v>2</v>
      </c>
      <c r="L232" s="18">
        <f t="shared" si="13"/>
        <v>1</v>
      </c>
      <c r="M232">
        <f t="shared" si="14"/>
        <v>4</v>
      </c>
      <c r="N232">
        <f t="shared" si="15"/>
        <v>4</v>
      </c>
      <c r="O232" t="str">
        <f t="shared" si="16"/>
        <v>Detractor</v>
      </c>
    </row>
    <row r="233" spans="1:15" ht="14.25" customHeight="1" x14ac:dyDescent="0.3">
      <c r="A233" s="3" t="s">
        <v>252</v>
      </c>
      <c r="B233" s="3" t="s">
        <v>1023</v>
      </c>
      <c r="C233" s="3" t="s">
        <v>12</v>
      </c>
      <c r="D233" s="13">
        <v>45936</v>
      </c>
      <c r="E233" s="13">
        <v>45941</v>
      </c>
      <c r="F233" s="13">
        <v>45942</v>
      </c>
      <c r="G233" s="13">
        <v>45949</v>
      </c>
      <c r="H233" s="3" t="s">
        <v>13</v>
      </c>
      <c r="J233" s="4">
        <v>45972</v>
      </c>
      <c r="K233" s="3">
        <v>8</v>
      </c>
      <c r="L233" s="18">
        <f t="shared" si="13"/>
        <v>5</v>
      </c>
      <c r="M233">
        <f t="shared" si="14"/>
        <v>1</v>
      </c>
      <c r="N233">
        <f t="shared" si="15"/>
        <v>7</v>
      </c>
      <c r="O233" t="str">
        <f t="shared" si="16"/>
        <v>Passive</v>
      </c>
    </row>
    <row r="234" spans="1:15" ht="14.25" customHeight="1" x14ac:dyDescent="0.3">
      <c r="A234" s="3" t="s">
        <v>253</v>
      </c>
      <c r="B234" s="3" t="s">
        <v>1023</v>
      </c>
      <c r="C234" s="3" t="s">
        <v>12</v>
      </c>
      <c r="D234" s="13">
        <v>45938</v>
      </c>
      <c r="E234" s="13">
        <v>45939</v>
      </c>
      <c r="F234" s="13">
        <v>45941</v>
      </c>
      <c r="G234" s="13">
        <v>45945</v>
      </c>
      <c r="H234" s="3" t="s">
        <v>17</v>
      </c>
      <c r="I234" s="3" t="s">
        <v>56</v>
      </c>
      <c r="L234" s="18">
        <f t="shared" si="13"/>
        <v>1</v>
      </c>
      <c r="M234">
        <f t="shared" si="14"/>
        <v>2</v>
      </c>
      <c r="N234">
        <f t="shared" si="15"/>
        <v>4</v>
      </c>
      <c r="O234" t="str">
        <f t="shared" si="16"/>
        <v>Detractor</v>
      </c>
    </row>
    <row r="235" spans="1:15" ht="14.25" customHeight="1" x14ac:dyDescent="0.3">
      <c r="A235" s="3" t="s">
        <v>254</v>
      </c>
      <c r="B235" s="3" t="s">
        <v>1023</v>
      </c>
      <c r="C235" s="3" t="s">
        <v>24</v>
      </c>
      <c r="D235" s="13">
        <v>45936</v>
      </c>
      <c r="E235" s="13">
        <v>45941</v>
      </c>
      <c r="F235" s="13">
        <v>45943</v>
      </c>
      <c r="G235" s="13">
        <v>45947</v>
      </c>
      <c r="H235" s="3" t="s">
        <v>13</v>
      </c>
      <c r="J235" s="4">
        <v>45959</v>
      </c>
      <c r="K235" s="3">
        <v>9</v>
      </c>
      <c r="L235" s="18">
        <f t="shared" si="13"/>
        <v>5</v>
      </c>
      <c r="M235">
        <f t="shared" si="14"/>
        <v>2</v>
      </c>
      <c r="N235">
        <f t="shared" si="15"/>
        <v>4</v>
      </c>
      <c r="O235" t="str">
        <f t="shared" si="16"/>
        <v>Promoter</v>
      </c>
    </row>
    <row r="236" spans="1:15" ht="14.25" customHeight="1" x14ac:dyDescent="0.3">
      <c r="A236" s="3" t="s">
        <v>255</v>
      </c>
      <c r="B236" s="3" t="s">
        <v>1024</v>
      </c>
      <c r="C236" s="3" t="s">
        <v>24</v>
      </c>
      <c r="D236" s="13">
        <v>45948</v>
      </c>
      <c r="E236" s="13">
        <v>45953</v>
      </c>
      <c r="F236" s="13">
        <v>45957</v>
      </c>
      <c r="G236" s="13">
        <v>45963</v>
      </c>
      <c r="H236" s="3" t="s">
        <v>13</v>
      </c>
      <c r="J236" s="4">
        <v>45982</v>
      </c>
      <c r="K236" s="3">
        <v>4</v>
      </c>
      <c r="L236" s="18">
        <f t="shared" si="13"/>
        <v>5</v>
      </c>
      <c r="M236">
        <f t="shared" si="14"/>
        <v>4</v>
      </c>
      <c r="N236">
        <f t="shared" si="15"/>
        <v>6</v>
      </c>
      <c r="O236" t="str">
        <f t="shared" si="16"/>
        <v>Detractor</v>
      </c>
    </row>
    <row r="237" spans="1:15" ht="14.25" customHeight="1" x14ac:dyDescent="0.3">
      <c r="A237" s="3" t="s">
        <v>256</v>
      </c>
      <c r="B237" s="3" t="s">
        <v>1022</v>
      </c>
      <c r="C237" s="3" t="s">
        <v>24</v>
      </c>
      <c r="D237" s="13">
        <v>45933</v>
      </c>
      <c r="E237" s="13">
        <v>45935</v>
      </c>
      <c r="F237" s="13">
        <v>45938</v>
      </c>
      <c r="G237" s="13">
        <v>45942</v>
      </c>
      <c r="H237" s="3" t="s">
        <v>13</v>
      </c>
      <c r="J237" s="4">
        <v>45972</v>
      </c>
      <c r="K237" s="3">
        <v>7</v>
      </c>
      <c r="L237" s="18">
        <f t="shared" si="13"/>
        <v>2</v>
      </c>
      <c r="M237">
        <f t="shared" si="14"/>
        <v>3</v>
      </c>
      <c r="N237">
        <f t="shared" si="15"/>
        <v>4</v>
      </c>
      <c r="O237" t="str">
        <f t="shared" si="16"/>
        <v>Passive</v>
      </c>
    </row>
    <row r="238" spans="1:15" ht="14.25" customHeight="1" x14ac:dyDescent="0.3">
      <c r="A238" s="3" t="s">
        <v>257</v>
      </c>
      <c r="B238" s="3" t="s">
        <v>1022</v>
      </c>
      <c r="C238" s="3" t="s">
        <v>24</v>
      </c>
      <c r="D238" s="13">
        <v>45936</v>
      </c>
      <c r="E238" s="13">
        <v>45939</v>
      </c>
      <c r="F238" s="13">
        <v>45941</v>
      </c>
      <c r="G238" s="13">
        <v>45947</v>
      </c>
      <c r="H238" s="3" t="s">
        <v>13</v>
      </c>
      <c r="J238" s="4">
        <v>45976</v>
      </c>
      <c r="K238" s="3">
        <v>7</v>
      </c>
      <c r="L238" s="18">
        <f t="shared" si="13"/>
        <v>3</v>
      </c>
      <c r="M238">
        <f t="shared" si="14"/>
        <v>2</v>
      </c>
      <c r="N238">
        <f t="shared" si="15"/>
        <v>6</v>
      </c>
      <c r="O238" t="str">
        <f t="shared" si="16"/>
        <v>Passive</v>
      </c>
    </row>
    <row r="239" spans="1:15" ht="14.25" customHeight="1" x14ac:dyDescent="0.3">
      <c r="A239" s="3" t="s">
        <v>258</v>
      </c>
      <c r="B239" s="3" t="s">
        <v>1022</v>
      </c>
      <c r="C239" s="3" t="s">
        <v>12</v>
      </c>
      <c r="D239" s="13">
        <v>45931</v>
      </c>
      <c r="E239" s="13">
        <v>45934</v>
      </c>
      <c r="F239" s="13">
        <v>45935</v>
      </c>
      <c r="G239" s="13">
        <v>45942</v>
      </c>
      <c r="H239" s="3" t="s">
        <v>13</v>
      </c>
      <c r="J239" s="4">
        <v>45967</v>
      </c>
      <c r="K239" s="3">
        <v>0</v>
      </c>
      <c r="L239" s="18">
        <f t="shared" si="13"/>
        <v>3</v>
      </c>
      <c r="M239">
        <f t="shared" si="14"/>
        <v>1</v>
      </c>
      <c r="N239">
        <f t="shared" si="15"/>
        <v>7</v>
      </c>
      <c r="O239" t="str">
        <f t="shared" si="16"/>
        <v>Detractor</v>
      </c>
    </row>
    <row r="240" spans="1:15" ht="14.25" customHeight="1" x14ac:dyDescent="0.3">
      <c r="A240" s="3" t="s">
        <v>259</v>
      </c>
      <c r="B240" s="3" t="s">
        <v>1024</v>
      </c>
      <c r="C240" s="3" t="s">
        <v>12</v>
      </c>
      <c r="D240" s="13">
        <v>45944</v>
      </c>
      <c r="E240" s="13">
        <v>45946</v>
      </c>
      <c r="F240" s="13">
        <v>45949</v>
      </c>
      <c r="G240" s="13">
        <v>45951</v>
      </c>
      <c r="H240" s="3" t="s">
        <v>13</v>
      </c>
      <c r="J240" s="4">
        <v>45967</v>
      </c>
      <c r="K240" s="3">
        <v>1</v>
      </c>
      <c r="L240" s="18">
        <f t="shared" si="13"/>
        <v>2</v>
      </c>
      <c r="M240">
        <f t="shared" si="14"/>
        <v>3</v>
      </c>
      <c r="N240">
        <f t="shared" si="15"/>
        <v>2</v>
      </c>
      <c r="O240" t="str">
        <f t="shared" si="16"/>
        <v>Detractor</v>
      </c>
    </row>
    <row r="241" spans="1:15" ht="14.25" customHeight="1" x14ac:dyDescent="0.3">
      <c r="A241" s="3" t="s">
        <v>260</v>
      </c>
      <c r="B241" s="3" t="s">
        <v>1023</v>
      </c>
      <c r="C241" s="3" t="s">
        <v>24</v>
      </c>
      <c r="D241" s="13">
        <v>45945</v>
      </c>
      <c r="E241" s="13">
        <v>45947</v>
      </c>
      <c r="F241" s="13">
        <v>45951</v>
      </c>
      <c r="G241" s="13">
        <v>45954</v>
      </c>
      <c r="H241" s="3" t="s">
        <v>17</v>
      </c>
      <c r="I241" s="3" t="s">
        <v>56</v>
      </c>
      <c r="L241" s="18">
        <f t="shared" si="13"/>
        <v>2</v>
      </c>
      <c r="M241">
        <f t="shared" si="14"/>
        <v>4</v>
      </c>
      <c r="N241">
        <f t="shared" si="15"/>
        <v>3</v>
      </c>
      <c r="O241" t="str">
        <f t="shared" si="16"/>
        <v>Detractor</v>
      </c>
    </row>
    <row r="242" spans="1:15" ht="14.25" customHeight="1" x14ac:dyDescent="0.3">
      <c r="A242" s="3" t="s">
        <v>261</v>
      </c>
      <c r="B242" s="3" t="s">
        <v>1022</v>
      </c>
      <c r="C242" s="3" t="s">
        <v>12</v>
      </c>
      <c r="D242" s="13">
        <v>45953</v>
      </c>
      <c r="E242" s="13">
        <v>45954</v>
      </c>
      <c r="F242" s="13">
        <v>45956</v>
      </c>
      <c r="G242" s="13">
        <v>45961</v>
      </c>
      <c r="H242" s="3" t="s">
        <v>13</v>
      </c>
      <c r="J242" s="4">
        <v>45974</v>
      </c>
      <c r="K242" s="3">
        <v>9</v>
      </c>
      <c r="L242" s="18">
        <f t="shared" si="13"/>
        <v>1</v>
      </c>
      <c r="M242">
        <f t="shared" si="14"/>
        <v>2</v>
      </c>
      <c r="N242">
        <f t="shared" si="15"/>
        <v>5</v>
      </c>
      <c r="O242" t="str">
        <f t="shared" si="16"/>
        <v>Promoter</v>
      </c>
    </row>
    <row r="243" spans="1:15" ht="14.25" customHeight="1" x14ac:dyDescent="0.3">
      <c r="A243" s="3" t="s">
        <v>262</v>
      </c>
      <c r="B243" s="3" t="s">
        <v>1024</v>
      </c>
      <c r="C243" s="3" t="s">
        <v>24</v>
      </c>
      <c r="D243" s="13">
        <v>45950</v>
      </c>
      <c r="E243" s="13">
        <v>45952</v>
      </c>
      <c r="F243" s="13">
        <v>45956</v>
      </c>
      <c r="G243" s="13">
        <v>45958</v>
      </c>
      <c r="H243" s="3" t="s">
        <v>13</v>
      </c>
      <c r="J243" s="4">
        <v>45968</v>
      </c>
      <c r="K243" s="3">
        <v>1</v>
      </c>
      <c r="L243" s="18">
        <f t="shared" si="13"/>
        <v>2</v>
      </c>
      <c r="M243">
        <f t="shared" si="14"/>
        <v>4</v>
      </c>
      <c r="N243">
        <f t="shared" si="15"/>
        <v>2</v>
      </c>
      <c r="O243" t="str">
        <f t="shared" si="16"/>
        <v>Detractor</v>
      </c>
    </row>
    <row r="244" spans="1:15" ht="14.25" customHeight="1" x14ac:dyDescent="0.3">
      <c r="A244" s="3" t="s">
        <v>263</v>
      </c>
      <c r="B244" s="3" t="s">
        <v>1022</v>
      </c>
      <c r="C244" s="3" t="s">
        <v>16</v>
      </c>
      <c r="D244" s="13">
        <v>45946</v>
      </c>
      <c r="H244" s="3" t="s">
        <v>17</v>
      </c>
      <c r="I244" s="3" t="s">
        <v>18</v>
      </c>
      <c r="M244">
        <f t="shared" si="14"/>
        <v>0</v>
      </c>
      <c r="N244">
        <f t="shared" si="15"/>
        <v>0</v>
      </c>
      <c r="O244" t="str">
        <f t="shared" si="16"/>
        <v>Detractor</v>
      </c>
    </row>
    <row r="245" spans="1:15" ht="14.25" customHeight="1" x14ac:dyDescent="0.3">
      <c r="A245" s="3" t="s">
        <v>264</v>
      </c>
      <c r="B245" s="3" t="s">
        <v>1021</v>
      </c>
      <c r="C245" s="3" t="s">
        <v>16</v>
      </c>
      <c r="D245" s="13">
        <v>45940</v>
      </c>
      <c r="H245" s="3" t="s">
        <v>17</v>
      </c>
      <c r="I245" s="3" t="s">
        <v>56</v>
      </c>
      <c r="M245">
        <f t="shared" si="14"/>
        <v>0</v>
      </c>
      <c r="N245">
        <f t="shared" si="15"/>
        <v>0</v>
      </c>
      <c r="O245" t="str">
        <f t="shared" si="16"/>
        <v>Detractor</v>
      </c>
    </row>
    <row r="246" spans="1:15" ht="14.25" customHeight="1" x14ac:dyDescent="0.3">
      <c r="A246" s="3" t="s">
        <v>265</v>
      </c>
      <c r="B246" s="3" t="s">
        <v>1022</v>
      </c>
      <c r="C246" s="3" t="s">
        <v>24</v>
      </c>
      <c r="D246" s="13">
        <v>45932</v>
      </c>
      <c r="E246" s="13">
        <v>45935</v>
      </c>
      <c r="F246" s="13">
        <v>45938</v>
      </c>
      <c r="G246" s="13">
        <v>45942</v>
      </c>
      <c r="H246" s="3" t="s">
        <v>13</v>
      </c>
      <c r="J246" s="4">
        <v>45958</v>
      </c>
      <c r="K246" s="3">
        <v>6</v>
      </c>
      <c r="L246" s="18">
        <f t="shared" si="13"/>
        <v>3</v>
      </c>
      <c r="M246">
        <f t="shared" si="14"/>
        <v>3</v>
      </c>
      <c r="N246">
        <f t="shared" si="15"/>
        <v>4</v>
      </c>
      <c r="O246" t="str">
        <f t="shared" si="16"/>
        <v>Detractor</v>
      </c>
    </row>
    <row r="247" spans="1:15" ht="14.25" customHeight="1" x14ac:dyDescent="0.3">
      <c r="A247" s="3" t="s">
        <v>266</v>
      </c>
      <c r="B247" s="3" t="s">
        <v>1022</v>
      </c>
      <c r="C247" s="3" t="s">
        <v>12</v>
      </c>
      <c r="D247" s="13">
        <v>45938</v>
      </c>
      <c r="E247" s="13">
        <v>45940</v>
      </c>
      <c r="F247" s="13">
        <v>45943</v>
      </c>
      <c r="G247" s="13">
        <v>45950</v>
      </c>
      <c r="H247" s="3" t="s">
        <v>17</v>
      </c>
      <c r="I247" s="3" t="s">
        <v>26</v>
      </c>
      <c r="L247" s="18">
        <f t="shared" si="13"/>
        <v>2</v>
      </c>
      <c r="M247">
        <f t="shared" si="14"/>
        <v>3</v>
      </c>
      <c r="N247">
        <f t="shared" si="15"/>
        <v>7</v>
      </c>
      <c r="O247" t="str">
        <f t="shared" si="16"/>
        <v>Detractor</v>
      </c>
    </row>
    <row r="248" spans="1:15" ht="14.25" customHeight="1" x14ac:dyDescent="0.3">
      <c r="A248" s="3" t="s">
        <v>267</v>
      </c>
      <c r="B248" s="3" t="s">
        <v>1023</v>
      </c>
      <c r="C248" s="3" t="s">
        <v>24</v>
      </c>
      <c r="D248" s="13">
        <v>45940</v>
      </c>
      <c r="E248" s="13">
        <v>45942</v>
      </c>
      <c r="F248" s="13">
        <v>45945</v>
      </c>
      <c r="G248" s="13">
        <v>45948</v>
      </c>
      <c r="H248" s="3" t="s">
        <v>13</v>
      </c>
      <c r="J248" s="4">
        <v>45963</v>
      </c>
      <c r="K248" s="3">
        <v>6</v>
      </c>
      <c r="L248" s="18">
        <f t="shared" si="13"/>
        <v>2</v>
      </c>
      <c r="M248">
        <f t="shared" si="14"/>
        <v>3</v>
      </c>
      <c r="N248">
        <f t="shared" si="15"/>
        <v>3</v>
      </c>
      <c r="O248" t="str">
        <f t="shared" si="16"/>
        <v>Detractor</v>
      </c>
    </row>
    <row r="249" spans="1:15" ht="14.25" customHeight="1" x14ac:dyDescent="0.3">
      <c r="A249" s="3" t="s">
        <v>268</v>
      </c>
      <c r="B249" s="3" t="s">
        <v>1024</v>
      </c>
      <c r="C249" s="3" t="s">
        <v>12</v>
      </c>
      <c r="D249" s="13">
        <v>45953</v>
      </c>
      <c r="E249" s="13">
        <v>45958</v>
      </c>
      <c r="F249" s="13">
        <v>45963</v>
      </c>
      <c r="G249" s="13">
        <v>45970</v>
      </c>
      <c r="H249" s="3" t="s">
        <v>13</v>
      </c>
      <c r="J249" s="4">
        <v>46000</v>
      </c>
      <c r="K249" s="3">
        <v>4</v>
      </c>
      <c r="L249" s="18">
        <f t="shared" si="13"/>
        <v>5</v>
      </c>
      <c r="M249">
        <f t="shared" si="14"/>
        <v>5</v>
      </c>
      <c r="N249">
        <f t="shared" si="15"/>
        <v>7</v>
      </c>
      <c r="O249" t="str">
        <f t="shared" si="16"/>
        <v>Detractor</v>
      </c>
    </row>
    <row r="250" spans="1:15" ht="14.25" customHeight="1" x14ac:dyDescent="0.3">
      <c r="A250" s="3" t="s">
        <v>269</v>
      </c>
      <c r="B250" s="3" t="s">
        <v>1023</v>
      </c>
      <c r="C250" s="3" t="s">
        <v>12</v>
      </c>
      <c r="D250" s="13">
        <v>45940</v>
      </c>
      <c r="E250" s="13">
        <v>45942</v>
      </c>
      <c r="F250" s="13">
        <v>45947</v>
      </c>
      <c r="G250" s="13">
        <v>45950</v>
      </c>
      <c r="H250" s="3" t="s">
        <v>13</v>
      </c>
      <c r="J250" s="4">
        <v>45969</v>
      </c>
      <c r="K250" s="3">
        <v>7</v>
      </c>
      <c r="L250" s="18">
        <f t="shared" si="13"/>
        <v>2</v>
      </c>
      <c r="M250">
        <f t="shared" si="14"/>
        <v>5</v>
      </c>
      <c r="N250">
        <f t="shared" si="15"/>
        <v>3</v>
      </c>
      <c r="O250" t="str">
        <f t="shared" si="16"/>
        <v>Passive</v>
      </c>
    </row>
    <row r="251" spans="1:15" ht="14.25" customHeight="1" x14ac:dyDescent="0.3">
      <c r="A251" s="3" t="s">
        <v>270</v>
      </c>
      <c r="B251" s="3" t="s">
        <v>1023</v>
      </c>
      <c r="C251" s="3" t="s">
        <v>24</v>
      </c>
      <c r="D251" s="13">
        <v>45953</v>
      </c>
      <c r="E251" s="13">
        <v>45954</v>
      </c>
      <c r="F251" s="13">
        <v>45955</v>
      </c>
      <c r="G251" s="13">
        <v>45958</v>
      </c>
      <c r="H251" s="3" t="s">
        <v>13</v>
      </c>
      <c r="J251" s="4">
        <v>45970</v>
      </c>
      <c r="K251" s="3">
        <v>3</v>
      </c>
      <c r="L251" s="18">
        <f t="shared" si="13"/>
        <v>1</v>
      </c>
      <c r="M251">
        <f t="shared" si="14"/>
        <v>1</v>
      </c>
      <c r="N251">
        <f t="shared" si="15"/>
        <v>3</v>
      </c>
      <c r="O251" t="str">
        <f t="shared" si="16"/>
        <v>Detractor</v>
      </c>
    </row>
    <row r="252" spans="1:15" ht="14.25" customHeight="1" x14ac:dyDescent="0.3">
      <c r="A252" s="3" t="s">
        <v>271</v>
      </c>
      <c r="B252" s="3" t="s">
        <v>1023</v>
      </c>
      <c r="C252" s="3" t="s">
        <v>12</v>
      </c>
      <c r="D252" s="13">
        <v>45958</v>
      </c>
      <c r="E252" s="13">
        <v>45960</v>
      </c>
      <c r="F252" s="13">
        <v>45963</v>
      </c>
      <c r="G252" s="13">
        <v>45966</v>
      </c>
      <c r="H252" s="3" t="s">
        <v>13</v>
      </c>
      <c r="J252" s="4">
        <v>45991</v>
      </c>
      <c r="K252" s="3">
        <v>2</v>
      </c>
      <c r="L252" s="18">
        <f t="shared" si="13"/>
        <v>2</v>
      </c>
      <c r="M252">
        <f t="shared" si="14"/>
        <v>3</v>
      </c>
      <c r="N252">
        <f t="shared" si="15"/>
        <v>3</v>
      </c>
      <c r="O252" t="str">
        <f t="shared" si="16"/>
        <v>Detractor</v>
      </c>
    </row>
    <row r="253" spans="1:15" ht="14.25" customHeight="1" x14ac:dyDescent="0.3">
      <c r="A253" s="3" t="s">
        <v>272</v>
      </c>
      <c r="B253" s="3" t="s">
        <v>1023</v>
      </c>
      <c r="C253" s="3" t="s">
        <v>24</v>
      </c>
      <c r="D253" s="13">
        <v>45945</v>
      </c>
      <c r="E253" s="13">
        <v>45949</v>
      </c>
      <c r="F253" s="13">
        <v>45952</v>
      </c>
      <c r="G253" s="13">
        <v>45959</v>
      </c>
      <c r="H253" s="3" t="s">
        <v>13</v>
      </c>
      <c r="J253" s="4">
        <v>45972</v>
      </c>
      <c r="K253" s="3">
        <v>6</v>
      </c>
      <c r="L253" s="18">
        <f t="shared" si="13"/>
        <v>4</v>
      </c>
      <c r="M253">
        <f t="shared" si="14"/>
        <v>3</v>
      </c>
      <c r="N253">
        <f t="shared" si="15"/>
        <v>7</v>
      </c>
      <c r="O253" t="str">
        <f t="shared" si="16"/>
        <v>Detractor</v>
      </c>
    </row>
    <row r="254" spans="1:15" ht="14.25" customHeight="1" x14ac:dyDescent="0.3">
      <c r="A254" s="3" t="s">
        <v>273</v>
      </c>
      <c r="B254" s="3" t="s">
        <v>1023</v>
      </c>
      <c r="C254" s="3" t="s">
        <v>24</v>
      </c>
      <c r="D254" s="13">
        <v>45933</v>
      </c>
      <c r="E254" s="13">
        <v>45937</v>
      </c>
      <c r="F254" s="13">
        <v>45939</v>
      </c>
      <c r="G254" s="13">
        <v>45943</v>
      </c>
      <c r="H254" s="3" t="s">
        <v>13</v>
      </c>
      <c r="J254" s="4">
        <v>45962</v>
      </c>
      <c r="K254" s="3">
        <v>10</v>
      </c>
      <c r="L254" s="18">
        <f t="shared" si="13"/>
        <v>4</v>
      </c>
      <c r="M254">
        <f t="shared" si="14"/>
        <v>2</v>
      </c>
      <c r="N254">
        <f t="shared" si="15"/>
        <v>4</v>
      </c>
      <c r="O254" t="str">
        <f t="shared" si="16"/>
        <v>Promoter</v>
      </c>
    </row>
    <row r="255" spans="1:15" ht="14.25" customHeight="1" x14ac:dyDescent="0.3">
      <c r="A255" s="3" t="s">
        <v>274</v>
      </c>
      <c r="B255" s="3" t="s">
        <v>1022</v>
      </c>
      <c r="C255" s="3" t="s">
        <v>12</v>
      </c>
      <c r="D255" s="13">
        <v>45952</v>
      </c>
      <c r="E255" s="13">
        <v>45957</v>
      </c>
      <c r="F255" s="13">
        <v>45958</v>
      </c>
      <c r="G255" s="13">
        <v>45961</v>
      </c>
      <c r="H255" s="3" t="s">
        <v>13</v>
      </c>
      <c r="J255" s="4">
        <v>45983</v>
      </c>
      <c r="K255" s="3">
        <v>4</v>
      </c>
      <c r="L255" s="18">
        <f t="shared" si="13"/>
        <v>5</v>
      </c>
      <c r="M255">
        <f t="shared" si="14"/>
        <v>1</v>
      </c>
      <c r="N255">
        <f t="shared" si="15"/>
        <v>3</v>
      </c>
      <c r="O255" t="str">
        <f t="shared" si="16"/>
        <v>Detractor</v>
      </c>
    </row>
    <row r="256" spans="1:15" ht="14.25" customHeight="1" x14ac:dyDescent="0.3">
      <c r="A256" s="3" t="s">
        <v>275</v>
      </c>
      <c r="B256" s="3" t="s">
        <v>1023</v>
      </c>
      <c r="C256" s="3" t="s">
        <v>12</v>
      </c>
      <c r="D256" s="13">
        <v>45938</v>
      </c>
      <c r="E256" s="13">
        <v>45943</v>
      </c>
      <c r="F256" s="13">
        <v>45944</v>
      </c>
      <c r="G256" s="13">
        <v>45951</v>
      </c>
      <c r="H256" s="3" t="s">
        <v>13</v>
      </c>
      <c r="J256" s="4">
        <v>45976</v>
      </c>
      <c r="K256" s="3">
        <v>5</v>
      </c>
      <c r="L256" s="18">
        <f t="shared" si="13"/>
        <v>5</v>
      </c>
      <c r="M256">
        <f t="shared" si="14"/>
        <v>1</v>
      </c>
      <c r="N256">
        <f t="shared" si="15"/>
        <v>7</v>
      </c>
      <c r="O256" t="str">
        <f t="shared" si="16"/>
        <v>Detractor</v>
      </c>
    </row>
    <row r="257" spans="1:15" ht="14.25" customHeight="1" x14ac:dyDescent="0.3">
      <c r="A257" s="3" t="s">
        <v>276</v>
      </c>
      <c r="B257" s="3" t="s">
        <v>1023</v>
      </c>
      <c r="C257" s="3" t="s">
        <v>12</v>
      </c>
      <c r="D257" s="13">
        <v>45960</v>
      </c>
      <c r="E257" s="13">
        <v>45964</v>
      </c>
      <c r="F257" s="13">
        <v>45968</v>
      </c>
      <c r="G257" s="13">
        <v>45973</v>
      </c>
      <c r="H257" s="3" t="s">
        <v>17</v>
      </c>
      <c r="I257" s="3" t="s">
        <v>20</v>
      </c>
      <c r="L257" s="18">
        <f t="shared" si="13"/>
        <v>4</v>
      </c>
      <c r="M257">
        <f t="shared" si="14"/>
        <v>4</v>
      </c>
      <c r="N257">
        <f t="shared" si="15"/>
        <v>5</v>
      </c>
      <c r="O257" t="str">
        <f t="shared" si="16"/>
        <v>Detractor</v>
      </c>
    </row>
    <row r="258" spans="1:15" ht="14.25" customHeight="1" x14ac:dyDescent="0.3">
      <c r="A258" s="3" t="s">
        <v>277</v>
      </c>
      <c r="B258" s="3" t="s">
        <v>1024</v>
      </c>
      <c r="C258" s="3" t="s">
        <v>12</v>
      </c>
      <c r="D258" s="13">
        <v>45939</v>
      </c>
      <c r="E258" s="13">
        <v>45944</v>
      </c>
      <c r="F258" s="13">
        <v>45947</v>
      </c>
      <c r="G258" s="13">
        <v>45952</v>
      </c>
      <c r="H258" s="3" t="s">
        <v>13</v>
      </c>
      <c r="J258" s="4">
        <v>45977</v>
      </c>
      <c r="K258" s="3">
        <v>3</v>
      </c>
      <c r="L258" s="18">
        <f t="shared" si="13"/>
        <v>5</v>
      </c>
      <c r="M258">
        <f t="shared" si="14"/>
        <v>3</v>
      </c>
      <c r="N258">
        <f t="shared" si="15"/>
        <v>5</v>
      </c>
      <c r="O258" t="str">
        <f t="shared" si="16"/>
        <v>Detractor</v>
      </c>
    </row>
    <row r="259" spans="1:15" ht="14.25" customHeight="1" x14ac:dyDescent="0.3">
      <c r="A259" s="3" t="s">
        <v>278</v>
      </c>
      <c r="B259" s="3" t="s">
        <v>1021</v>
      </c>
      <c r="C259" s="3" t="s">
        <v>16</v>
      </c>
      <c r="D259" s="13">
        <v>45956</v>
      </c>
      <c r="H259" s="3" t="s">
        <v>17</v>
      </c>
      <c r="I259" s="3" t="s">
        <v>56</v>
      </c>
      <c r="M259">
        <f t="shared" ref="M259:M322" si="17">F259-E259</f>
        <v>0</v>
      </c>
      <c r="N259">
        <f t="shared" ref="N259:N322" si="18">G259-F259</f>
        <v>0</v>
      </c>
      <c r="O259" t="str">
        <f t="shared" ref="O259:O322" si="19">IF(K259&gt;=9,"Promoter",IF(K259&lt;=6,"Detractor","Passive"))</f>
        <v>Detractor</v>
      </c>
    </row>
    <row r="260" spans="1:15" ht="14.25" customHeight="1" x14ac:dyDescent="0.3">
      <c r="A260" s="3" t="s">
        <v>279</v>
      </c>
      <c r="B260" s="3" t="s">
        <v>1022</v>
      </c>
      <c r="C260" s="3" t="s">
        <v>24</v>
      </c>
      <c r="D260" s="13">
        <v>45956</v>
      </c>
      <c r="E260" s="13">
        <v>45961</v>
      </c>
      <c r="F260" s="13">
        <v>45963</v>
      </c>
      <c r="G260" s="13">
        <v>45966</v>
      </c>
      <c r="H260" s="3" t="s">
        <v>17</v>
      </c>
      <c r="I260" s="3" t="s">
        <v>56</v>
      </c>
      <c r="L260" s="18">
        <f t="shared" ref="L260:L322" si="20">E260-D260</f>
        <v>5</v>
      </c>
      <c r="M260">
        <f t="shared" si="17"/>
        <v>2</v>
      </c>
      <c r="N260">
        <f t="shared" si="18"/>
        <v>3</v>
      </c>
      <c r="O260" t="str">
        <f t="shared" si="19"/>
        <v>Detractor</v>
      </c>
    </row>
    <row r="261" spans="1:15" ht="14.25" customHeight="1" x14ac:dyDescent="0.3">
      <c r="A261" s="3" t="s">
        <v>280</v>
      </c>
      <c r="B261" s="3" t="s">
        <v>1022</v>
      </c>
      <c r="C261" s="3" t="s">
        <v>12</v>
      </c>
      <c r="D261" s="13">
        <v>45951</v>
      </c>
      <c r="E261" s="13">
        <v>45954</v>
      </c>
      <c r="F261" s="13">
        <v>45958</v>
      </c>
      <c r="G261" s="13">
        <v>45964</v>
      </c>
      <c r="H261" s="3" t="s">
        <v>13</v>
      </c>
      <c r="J261" s="4">
        <v>45982</v>
      </c>
      <c r="K261" s="3">
        <v>4</v>
      </c>
      <c r="L261" s="18">
        <f t="shared" si="20"/>
        <v>3</v>
      </c>
      <c r="M261">
        <f t="shared" si="17"/>
        <v>4</v>
      </c>
      <c r="N261">
        <f t="shared" si="18"/>
        <v>6</v>
      </c>
      <c r="O261" t="str">
        <f t="shared" si="19"/>
        <v>Detractor</v>
      </c>
    </row>
    <row r="262" spans="1:15" ht="14.25" customHeight="1" x14ac:dyDescent="0.3">
      <c r="A262" s="3" t="s">
        <v>281</v>
      </c>
      <c r="B262" s="3" t="s">
        <v>1022</v>
      </c>
      <c r="C262" s="3" t="s">
        <v>12</v>
      </c>
      <c r="D262" s="13">
        <v>45949</v>
      </c>
      <c r="E262" s="13">
        <v>45952</v>
      </c>
      <c r="F262" s="13">
        <v>45957</v>
      </c>
      <c r="G262" s="13">
        <v>45964</v>
      </c>
      <c r="H262" s="3" t="s">
        <v>13</v>
      </c>
      <c r="J262" s="4">
        <v>45976</v>
      </c>
      <c r="K262" s="3">
        <v>2</v>
      </c>
      <c r="L262" s="18">
        <f t="shared" si="20"/>
        <v>3</v>
      </c>
      <c r="M262">
        <f t="shared" si="17"/>
        <v>5</v>
      </c>
      <c r="N262">
        <f t="shared" si="18"/>
        <v>7</v>
      </c>
      <c r="O262" t="str">
        <f t="shared" si="19"/>
        <v>Detractor</v>
      </c>
    </row>
    <row r="263" spans="1:15" ht="14.25" customHeight="1" x14ac:dyDescent="0.3">
      <c r="A263" s="3" t="s">
        <v>282</v>
      </c>
      <c r="B263" s="3" t="s">
        <v>1023</v>
      </c>
      <c r="C263" s="3" t="s">
        <v>12</v>
      </c>
      <c r="D263" s="13">
        <v>45952</v>
      </c>
      <c r="E263" s="13">
        <v>45954</v>
      </c>
      <c r="F263" s="13">
        <v>45957</v>
      </c>
      <c r="G263" s="13">
        <v>45961</v>
      </c>
      <c r="H263" s="3" t="s">
        <v>13</v>
      </c>
      <c r="J263" s="4">
        <v>45991</v>
      </c>
      <c r="K263" s="3">
        <v>9</v>
      </c>
      <c r="L263" s="18">
        <f t="shared" si="20"/>
        <v>2</v>
      </c>
      <c r="M263">
        <f t="shared" si="17"/>
        <v>3</v>
      </c>
      <c r="N263">
        <f t="shared" si="18"/>
        <v>4</v>
      </c>
      <c r="O263" t="str">
        <f t="shared" si="19"/>
        <v>Promoter</v>
      </c>
    </row>
    <row r="264" spans="1:15" ht="14.25" customHeight="1" x14ac:dyDescent="0.3">
      <c r="A264" s="3" t="s">
        <v>283</v>
      </c>
      <c r="B264" s="3" t="s">
        <v>1023</v>
      </c>
      <c r="C264" s="3" t="s">
        <v>16</v>
      </c>
      <c r="D264" s="13">
        <v>45956</v>
      </c>
      <c r="H264" s="3" t="s">
        <v>17</v>
      </c>
      <c r="I264" s="3" t="s">
        <v>18</v>
      </c>
      <c r="M264">
        <f t="shared" si="17"/>
        <v>0</v>
      </c>
      <c r="N264">
        <f t="shared" si="18"/>
        <v>0</v>
      </c>
      <c r="O264" t="str">
        <f t="shared" si="19"/>
        <v>Detractor</v>
      </c>
    </row>
    <row r="265" spans="1:15" ht="14.25" customHeight="1" x14ac:dyDescent="0.3">
      <c r="A265" s="3" t="s">
        <v>284</v>
      </c>
      <c r="B265" s="3" t="s">
        <v>1023</v>
      </c>
      <c r="C265" s="3" t="s">
        <v>12</v>
      </c>
      <c r="D265" s="13">
        <v>45960</v>
      </c>
      <c r="E265" s="13">
        <v>45964</v>
      </c>
      <c r="F265" s="13">
        <v>45965</v>
      </c>
      <c r="G265" s="13">
        <v>45972</v>
      </c>
      <c r="H265" s="3" t="s">
        <v>13</v>
      </c>
      <c r="J265" s="4">
        <v>45999</v>
      </c>
      <c r="K265" s="3">
        <v>5</v>
      </c>
      <c r="L265" s="18">
        <f t="shared" si="20"/>
        <v>4</v>
      </c>
      <c r="M265">
        <f t="shared" si="17"/>
        <v>1</v>
      </c>
      <c r="N265">
        <f t="shared" si="18"/>
        <v>7</v>
      </c>
      <c r="O265" t="str">
        <f t="shared" si="19"/>
        <v>Detractor</v>
      </c>
    </row>
    <row r="266" spans="1:15" ht="14.25" customHeight="1" x14ac:dyDescent="0.3">
      <c r="A266" s="3" t="s">
        <v>285</v>
      </c>
      <c r="B266" s="3" t="s">
        <v>1024</v>
      </c>
      <c r="C266" s="3" t="s">
        <v>12</v>
      </c>
      <c r="D266" s="13">
        <v>45937</v>
      </c>
      <c r="E266" s="13">
        <v>45938</v>
      </c>
      <c r="F266" s="13">
        <v>45941</v>
      </c>
      <c r="G266" s="13">
        <v>45946</v>
      </c>
      <c r="H266" s="3" t="s">
        <v>13</v>
      </c>
      <c r="J266" s="4">
        <v>45968</v>
      </c>
      <c r="K266" s="3">
        <v>7</v>
      </c>
      <c r="L266" s="18">
        <f t="shared" si="20"/>
        <v>1</v>
      </c>
      <c r="M266">
        <f t="shared" si="17"/>
        <v>3</v>
      </c>
      <c r="N266">
        <f t="shared" si="18"/>
        <v>5</v>
      </c>
      <c r="O266" t="str">
        <f t="shared" si="19"/>
        <v>Passive</v>
      </c>
    </row>
    <row r="267" spans="1:15" ht="14.25" customHeight="1" x14ac:dyDescent="0.3">
      <c r="A267" s="3" t="s">
        <v>286</v>
      </c>
      <c r="B267" s="3" t="s">
        <v>1021</v>
      </c>
      <c r="C267" s="3" t="s">
        <v>12</v>
      </c>
      <c r="D267" s="13">
        <v>45944</v>
      </c>
      <c r="E267" s="13">
        <v>45948</v>
      </c>
      <c r="F267" s="13">
        <v>45951</v>
      </c>
      <c r="G267" s="13">
        <v>45956</v>
      </c>
      <c r="H267" s="3" t="s">
        <v>13</v>
      </c>
      <c r="J267" s="4">
        <v>45971</v>
      </c>
      <c r="K267" s="3">
        <v>5</v>
      </c>
      <c r="L267" s="18">
        <f t="shared" si="20"/>
        <v>4</v>
      </c>
      <c r="M267">
        <f t="shared" si="17"/>
        <v>3</v>
      </c>
      <c r="N267">
        <f t="shared" si="18"/>
        <v>5</v>
      </c>
      <c r="O267" t="str">
        <f t="shared" si="19"/>
        <v>Detractor</v>
      </c>
    </row>
    <row r="268" spans="1:15" ht="14.25" customHeight="1" x14ac:dyDescent="0.3">
      <c r="A268" s="3" t="s">
        <v>287</v>
      </c>
      <c r="B268" s="3" t="s">
        <v>1023</v>
      </c>
      <c r="C268" s="3" t="s">
        <v>16</v>
      </c>
      <c r="D268" s="13">
        <v>45934</v>
      </c>
      <c r="H268" s="3" t="s">
        <v>17</v>
      </c>
      <c r="I268" s="3" t="s">
        <v>26</v>
      </c>
      <c r="M268">
        <f t="shared" si="17"/>
        <v>0</v>
      </c>
      <c r="N268">
        <f t="shared" si="18"/>
        <v>0</v>
      </c>
      <c r="O268" t="str">
        <f t="shared" si="19"/>
        <v>Detractor</v>
      </c>
    </row>
    <row r="269" spans="1:15" ht="14.25" customHeight="1" x14ac:dyDescent="0.3">
      <c r="A269" s="3" t="s">
        <v>288</v>
      </c>
      <c r="B269" s="3" t="s">
        <v>1021</v>
      </c>
      <c r="C269" s="3" t="s">
        <v>16</v>
      </c>
      <c r="D269" s="13">
        <v>45948</v>
      </c>
      <c r="H269" s="3" t="s">
        <v>17</v>
      </c>
      <c r="I269" s="3" t="s">
        <v>20</v>
      </c>
      <c r="M269">
        <f t="shared" si="17"/>
        <v>0</v>
      </c>
      <c r="N269">
        <f t="shared" si="18"/>
        <v>0</v>
      </c>
      <c r="O269" t="str">
        <f t="shared" si="19"/>
        <v>Detractor</v>
      </c>
    </row>
    <row r="270" spans="1:15" ht="14.25" customHeight="1" x14ac:dyDescent="0.3">
      <c r="A270" s="3" t="s">
        <v>289</v>
      </c>
      <c r="B270" s="3" t="s">
        <v>1024</v>
      </c>
      <c r="C270" s="3" t="s">
        <v>12</v>
      </c>
      <c r="D270" s="13">
        <v>45938</v>
      </c>
      <c r="E270" s="13">
        <v>45942</v>
      </c>
      <c r="F270" s="13">
        <v>45947</v>
      </c>
      <c r="G270" s="13">
        <v>45952</v>
      </c>
      <c r="H270" s="3" t="s">
        <v>13</v>
      </c>
      <c r="J270" s="4">
        <v>45973</v>
      </c>
      <c r="K270" s="3">
        <v>6</v>
      </c>
      <c r="L270" s="18">
        <f t="shared" si="20"/>
        <v>4</v>
      </c>
      <c r="M270">
        <f t="shared" si="17"/>
        <v>5</v>
      </c>
      <c r="N270">
        <f t="shared" si="18"/>
        <v>5</v>
      </c>
      <c r="O270" t="str">
        <f t="shared" si="19"/>
        <v>Detractor</v>
      </c>
    </row>
    <row r="271" spans="1:15" ht="14.25" customHeight="1" x14ac:dyDescent="0.3">
      <c r="A271" s="3" t="s">
        <v>290</v>
      </c>
      <c r="B271" s="3" t="s">
        <v>1022</v>
      </c>
      <c r="C271" s="3" t="s">
        <v>12</v>
      </c>
      <c r="D271" s="13">
        <v>45951</v>
      </c>
      <c r="E271" s="13">
        <v>45954</v>
      </c>
      <c r="F271" s="13">
        <v>45956</v>
      </c>
      <c r="G271" s="13">
        <v>45958</v>
      </c>
      <c r="H271" s="3" t="s">
        <v>13</v>
      </c>
      <c r="J271" s="4">
        <v>45980</v>
      </c>
      <c r="K271" s="3">
        <v>1</v>
      </c>
      <c r="L271" s="18">
        <f t="shared" si="20"/>
        <v>3</v>
      </c>
      <c r="M271">
        <f t="shared" si="17"/>
        <v>2</v>
      </c>
      <c r="N271">
        <f t="shared" si="18"/>
        <v>2</v>
      </c>
      <c r="O271" t="str">
        <f t="shared" si="19"/>
        <v>Detractor</v>
      </c>
    </row>
    <row r="272" spans="1:15" ht="14.25" customHeight="1" x14ac:dyDescent="0.3">
      <c r="A272" s="3" t="s">
        <v>291</v>
      </c>
      <c r="B272" s="3" t="s">
        <v>1023</v>
      </c>
      <c r="C272" s="3" t="s">
        <v>24</v>
      </c>
      <c r="D272" s="13">
        <v>45935</v>
      </c>
      <c r="E272" s="13">
        <v>45938</v>
      </c>
      <c r="F272" s="13">
        <v>45940</v>
      </c>
      <c r="G272" s="13">
        <v>45947</v>
      </c>
      <c r="H272" s="3" t="s">
        <v>13</v>
      </c>
      <c r="J272" s="4">
        <v>45968</v>
      </c>
      <c r="K272" s="3">
        <v>5</v>
      </c>
      <c r="L272" s="18">
        <f t="shared" si="20"/>
        <v>3</v>
      </c>
      <c r="M272">
        <f t="shared" si="17"/>
        <v>2</v>
      </c>
      <c r="N272">
        <f t="shared" si="18"/>
        <v>7</v>
      </c>
      <c r="O272" t="str">
        <f t="shared" si="19"/>
        <v>Detractor</v>
      </c>
    </row>
    <row r="273" spans="1:15" ht="14.25" customHeight="1" x14ac:dyDescent="0.3">
      <c r="A273" s="3" t="s">
        <v>292</v>
      </c>
      <c r="B273" s="3" t="s">
        <v>1021</v>
      </c>
      <c r="C273" s="3" t="s">
        <v>24</v>
      </c>
      <c r="D273" s="13">
        <v>45960</v>
      </c>
      <c r="E273" s="13">
        <v>45965</v>
      </c>
      <c r="F273" s="13">
        <v>45967</v>
      </c>
      <c r="G273" s="13">
        <v>45969</v>
      </c>
      <c r="H273" s="3" t="s">
        <v>13</v>
      </c>
      <c r="J273" s="4">
        <v>45984</v>
      </c>
      <c r="K273" s="3">
        <v>6</v>
      </c>
      <c r="L273" s="18">
        <f t="shared" si="20"/>
        <v>5</v>
      </c>
      <c r="M273">
        <f t="shared" si="17"/>
        <v>2</v>
      </c>
      <c r="N273">
        <f t="shared" si="18"/>
        <v>2</v>
      </c>
      <c r="O273" t="str">
        <f t="shared" si="19"/>
        <v>Detractor</v>
      </c>
    </row>
    <row r="274" spans="1:15" ht="14.25" customHeight="1" x14ac:dyDescent="0.3">
      <c r="A274" s="3" t="s">
        <v>293</v>
      </c>
      <c r="B274" s="3" t="s">
        <v>1021</v>
      </c>
      <c r="C274" s="3" t="s">
        <v>12</v>
      </c>
      <c r="D274" s="13">
        <v>45939</v>
      </c>
      <c r="E274" s="13">
        <v>45940</v>
      </c>
      <c r="F274" s="13">
        <v>45944</v>
      </c>
      <c r="G274" s="13">
        <v>45949</v>
      </c>
      <c r="H274" s="3" t="s">
        <v>13</v>
      </c>
      <c r="J274" s="4">
        <v>45973</v>
      </c>
      <c r="K274" s="3">
        <v>9</v>
      </c>
      <c r="L274" s="18">
        <f t="shared" si="20"/>
        <v>1</v>
      </c>
      <c r="M274">
        <f t="shared" si="17"/>
        <v>4</v>
      </c>
      <c r="N274">
        <f t="shared" si="18"/>
        <v>5</v>
      </c>
      <c r="O274" t="str">
        <f t="shared" si="19"/>
        <v>Promoter</v>
      </c>
    </row>
    <row r="275" spans="1:15" ht="14.25" customHeight="1" x14ac:dyDescent="0.3">
      <c r="A275" s="3" t="s">
        <v>294</v>
      </c>
      <c r="B275" s="3" t="s">
        <v>1023</v>
      </c>
      <c r="C275" s="3" t="s">
        <v>24</v>
      </c>
      <c r="D275" s="13">
        <v>45957</v>
      </c>
      <c r="E275" s="13">
        <v>45960</v>
      </c>
      <c r="F275" s="13">
        <v>45962</v>
      </c>
      <c r="G275" s="13">
        <v>45968</v>
      </c>
      <c r="H275" s="3" t="s">
        <v>13</v>
      </c>
      <c r="J275" s="4">
        <v>45979</v>
      </c>
      <c r="K275" s="3">
        <v>2</v>
      </c>
      <c r="L275" s="18">
        <f t="shared" si="20"/>
        <v>3</v>
      </c>
      <c r="M275">
        <f t="shared" si="17"/>
        <v>2</v>
      </c>
      <c r="N275">
        <f t="shared" si="18"/>
        <v>6</v>
      </c>
      <c r="O275" t="str">
        <f t="shared" si="19"/>
        <v>Detractor</v>
      </c>
    </row>
    <row r="276" spans="1:15" ht="14.25" customHeight="1" x14ac:dyDescent="0.3">
      <c r="A276" s="3" t="s">
        <v>295</v>
      </c>
      <c r="B276" s="3" t="s">
        <v>1022</v>
      </c>
      <c r="C276" s="3" t="s">
        <v>12</v>
      </c>
      <c r="D276" s="13">
        <v>45935</v>
      </c>
      <c r="E276" s="13">
        <v>45940</v>
      </c>
      <c r="F276" s="13">
        <v>45944</v>
      </c>
      <c r="G276" s="13">
        <v>45951</v>
      </c>
      <c r="H276" s="3" t="s">
        <v>13</v>
      </c>
      <c r="J276" s="4">
        <v>45969</v>
      </c>
      <c r="K276" s="3">
        <v>3</v>
      </c>
      <c r="L276" s="18">
        <f t="shared" si="20"/>
        <v>5</v>
      </c>
      <c r="M276">
        <f t="shared" si="17"/>
        <v>4</v>
      </c>
      <c r="N276">
        <f t="shared" si="18"/>
        <v>7</v>
      </c>
      <c r="O276" t="str">
        <f t="shared" si="19"/>
        <v>Detractor</v>
      </c>
    </row>
    <row r="277" spans="1:15" ht="14.25" customHeight="1" x14ac:dyDescent="0.3">
      <c r="A277" s="3" t="s">
        <v>296</v>
      </c>
      <c r="B277" s="3" t="s">
        <v>1022</v>
      </c>
      <c r="C277" s="3" t="s">
        <v>24</v>
      </c>
      <c r="D277" s="13">
        <v>45933</v>
      </c>
      <c r="E277" s="13">
        <v>45934</v>
      </c>
      <c r="F277" s="13">
        <v>45939</v>
      </c>
      <c r="G277" s="13">
        <v>45943</v>
      </c>
      <c r="H277" s="3" t="s">
        <v>13</v>
      </c>
      <c r="J277" s="4">
        <v>45967</v>
      </c>
      <c r="K277" s="3">
        <v>10</v>
      </c>
      <c r="L277" s="18">
        <f t="shared" si="20"/>
        <v>1</v>
      </c>
      <c r="M277">
        <f t="shared" si="17"/>
        <v>5</v>
      </c>
      <c r="N277">
        <f t="shared" si="18"/>
        <v>4</v>
      </c>
      <c r="O277" t="str">
        <f t="shared" si="19"/>
        <v>Promoter</v>
      </c>
    </row>
    <row r="278" spans="1:15" ht="14.25" customHeight="1" x14ac:dyDescent="0.3">
      <c r="A278" s="3" t="s">
        <v>297</v>
      </c>
      <c r="B278" s="3" t="s">
        <v>1022</v>
      </c>
      <c r="C278" s="3" t="s">
        <v>12</v>
      </c>
      <c r="D278" s="13">
        <v>45932</v>
      </c>
      <c r="E278" s="13">
        <v>45935</v>
      </c>
      <c r="F278" s="13">
        <v>45938</v>
      </c>
      <c r="G278" s="13">
        <v>45945</v>
      </c>
      <c r="H278" s="3" t="s">
        <v>13</v>
      </c>
      <c r="J278" s="4">
        <v>45969</v>
      </c>
      <c r="K278" s="3">
        <v>8</v>
      </c>
      <c r="L278" s="18">
        <f t="shared" si="20"/>
        <v>3</v>
      </c>
      <c r="M278">
        <f t="shared" si="17"/>
        <v>3</v>
      </c>
      <c r="N278">
        <f t="shared" si="18"/>
        <v>7</v>
      </c>
      <c r="O278" t="str">
        <f t="shared" si="19"/>
        <v>Passive</v>
      </c>
    </row>
    <row r="279" spans="1:15" ht="14.25" customHeight="1" x14ac:dyDescent="0.3">
      <c r="A279" s="3" t="s">
        <v>298</v>
      </c>
      <c r="B279" s="3" t="s">
        <v>1024</v>
      </c>
      <c r="C279" s="3" t="s">
        <v>12</v>
      </c>
      <c r="D279" s="13">
        <v>45936</v>
      </c>
      <c r="E279" s="13">
        <v>45940</v>
      </c>
      <c r="F279" s="13">
        <v>45944</v>
      </c>
      <c r="G279" s="13">
        <v>45948</v>
      </c>
      <c r="H279" s="3" t="s">
        <v>13</v>
      </c>
      <c r="J279" s="4">
        <v>45966</v>
      </c>
      <c r="K279" s="3">
        <v>1</v>
      </c>
      <c r="L279" s="18">
        <f t="shared" si="20"/>
        <v>4</v>
      </c>
      <c r="M279">
        <f t="shared" si="17"/>
        <v>4</v>
      </c>
      <c r="N279">
        <f t="shared" si="18"/>
        <v>4</v>
      </c>
      <c r="O279" t="str">
        <f t="shared" si="19"/>
        <v>Detractor</v>
      </c>
    </row>
    <row r="280" spans="1:15" ht="14.25" customHeight="1" x14ac:dyDescent="0.3">
      <c r="A280" s="3" t="s">
        <v>299</v>
      </c>
      <c r="B280" s="3" t="s">
        <v>1021</v>
      </c>
      <c r="C280" s="3" t="s">
        <v>16</v>
      </c>
      <c r="D280" s="13">
        <v>45956</v>
      </c>
      <c r="H280" s="3" t="s">
        <v>17</v>
      </c>
      <c r="I280" s="3" t="s">
        <v>18</v>
      </c>
      <c r="M280">
        <f t="shared" si="17"/>
        <v>0</v>
      </c>
      <c r="N280">
        <f t="shared" si="18"/>
        <v>0</v>
      </c>
      <c r="O280" t="str">
        <f t="shared" si="19"/>
        <v>Detractor</v>
      </c>
    </row>
    <row r="281" spans="1:15" ht="14.25" customHeight="1" x14ac:dyDescent="0.3">
      <c r="A281" s="3" t="s">
        <v>300</v>
      </c>
      <c r="B281" s="3" t="s">
        <v>1021</v>
      </c>
      <c r="C281" s="3" t="s">
        <v>24</v>
      </c>
      <c r="D281" s="13">
        <v>45940</v>
      </c>
      <c r="E281" s="13">
        <v>45944</v>
      </c>
      <c r="F281" s="13">
        <v>45949</v>
      </c>
      <c r="G281" s="13">
        <v>45954</v>
      </c>
      <c r="H281" s="3" t="s">
        <v>17</v>
      </c>
      <c r="I281" s="3" t="s">
        <v>18</v>
      </c>
      <c r="L281" s="18">
        <f t="shared" si="20"/>
        <v>4</v>
      </c>
      <c r="M281">
        <f t="shared" si="17"/>
        <v>5</v>
      </c>
      <c r="N281">
        <f t="shared" si="18"/>
        <v>5</v>
      </c>
      <c r="O281" t="str">
        <f t="shared" si="19"/>
        <v>Detractor</v>
      </c>
    </row>
    <row r="282" spans="1:15" ht="14.25" customHeight="1" x14ac:dyDescent="0.3">
      <c r="A282" s="3" t="s">
        <v>301</v>
      </c>
      <c r="B282" s="3" t="s">
        <v>1021</v>
      </c>
      <c r="C282" s="3" t="s">
        <v>12</v>
      </c>
      <c r="D282" s="13">
        <v>45950</v>
      </c>
      <c r="E282" s="13">
        <v>45951</v>
      </c>
      <c r="F282" s="13">
        <v>45955</v>
      </c>
      <c r="G282" s="13">
        <v>45960</v>
      </c>
      <c r="H282" s="3" t="s">
        <v>13</v>
      </c>
      <c r="J282" s="4">
        <v>45977</v>
      </c>
      <c r="K282" s="3">
        <v>8</v>
      </c>
      <c r="L282" s="18">
        <f t="shared" si="20"/>
        <v>1</v>
      </c>
      <c r="M282">
        <f t="shared" si="17"/>
        <v>4</v>
      </c>
      <c r="N282">
        <f t="shared" si="18"/>
        <v>5</v>
      </c>
      <c r="O282" t="str">
        <f t="shared" si="19"/>
        <v>Passive</v>
      </c>
    </row>
    <row r="283" spans="1:15" ht="14.25" customHeight="1" x14ac:dyDescent="0.3">
      <c r="A283" s="3" t="s">
        <v>302</v>
      </c>
      <c r="B283" s="3" t="s">
        <v>1024</v>
      </c>
      <c r="C283" s="3" t="s">
        <v>16</v>
      </c>
      <c r="D283" s="13">
        <v>45954</v>
      </c>
      <c r="H283" s="3" t="s">
        <v>17</v>
      </c>
      <c r="I283" s="3" t="s">
        <v>26</v>
      </c>
      <c r="M283">
        <f t="shared" si="17"/>
        <v>0</v>
      </c>
      <c r="N283">
        <f t="shared" si="18"/>
        <v>0</v>
      </c>
      <c r="O283" t="str">
        <f t="shared" si="19"/>
        <v>Detractor</v>
      </c>
    </row>
    <row r="284" spans="1:15" ht="14.25" customHeight="1" x14ac:dyDescent="0.3">
      <c r="A284" s="3" t="s">
        <v>303</v>
      </c>
      <c r="B284" s="3" t="s">
        <v>1021</v>
      </c>
      <c r="C284" s="3" t="s">
        <v>24</v>
      </c>
      <c r="D284" s="13">
        <v>45957</v>
      </c>
      <c r="E284" s="13">
        <v>45958</v>
      </c>
      <c r="F284" s="13">
        <v>45963</v>
      </c>
      <c r="G284" s="13">
        <v>45967</v>
      </c>
      <c r="H284" s="3" t="s">
        <v>17</v>
      </c>
      <c r="I284" s="3" t="s">
        <v>20</v>
      </c>
      <c r="L284" s="18">
        <f t="shared" si="20"/>
        <v>1</v>
      </c>
      <c r="M284">
        <f t="shared" si="17"/>
        <v>5</v>
      </c>
      <c r="N284">
        <f t="shared" si="18"/>
        <v>4</v>
      </c>
      <c r="O284" t="str">
        <f t="shared" si="19"/>
        <v>Detractor</v>
      </c>
    </row>
    <row r="285" spans="1:15" ht="14.25" customHeight="1" x14ac:dyDescent="0.3">
      <c r="A285" s="3" t="s">
        <v>304</v>
      </c>
      <c r="B285" s="3" t="s">
        <v>1024</v>
      </c>
      <c r="C285" s="3" t="s">
        <v>16</v>
      </c>
      <c r="D285" s="13">
        <v>45949</v>
      </c>
      <c r="H285" s="3" t="s">
        <v>17</v>
      </c>
      <c r="I285" s="3" t="s">
        <v>26</v>
      </c>
      <c r="M285">
        <f t="shared" si="17"/>
        <v>0</v>
      </c>
      <c r="N285">
        <f t="shared" si="18"/>
        <v>0</v>
      </c>
      <c r="O285" t="str">
        <f t="shared" si="19"/>
        <v>Detractor</v>
      </c>
    </row>
    <row r="286" spans="1:15" ht="14.25" customHeight="1" x14ac:dyDescent="0.3">
      <c r="A286" s="3" t="s">
        <v>305</v>
      </c>
      <c r="B286" s="3" t="s">
        <v>1022</v>
      </c>
      <c r="C286" s="3" t="s">
        <v>12</v>
      </c>
      <c r="D286" s="13">
        <v>45960</v>
      </c>
      <c r="E286" s="13">
        <v>45963</v>
      </c>
      <c r="F286" s="13">
        <v>45965</v>
      </c>
      <c r="G286" s="13">
        <v>45971</v>
      </c>
      <c r="H286" s="3" t="s">
        <v>13</v>
      </c>
      <c r="J286" s="4">
        <v>45989</v>
      </c>
      <c r="K286" s="3">
        <v>4</v>
      </c>
      <c r="L286" s="18">
        <f t="shared" si="20"/>
        <v>3</v>
      </c>
      <c r="M286">
        <f t="shared" si="17"/>
        <v>2</v>
      </c>
      <c r="N286">
        <f t="shared" si="18"/>
        <v>6</v>
      </c>
      <c r="O286" t="str">
        <f t="shared" si="19"/>
        <v>Detractor</v>
      </c>
    </row>
    <row r="287" spans="1:15" ht="14.25" customHeight="1" x14ac:dyDescent="0.3">
      <c r="A287" s="3" t="s">
        <v>306</v>
      </c>
      <c r="B287" s="3" t="s">
        <v>1023</v>
      </c>
      <c r="C287" s="3" t="s">
        <v>12</v>
      </c>
      <c r="D287" s="13">
        <v>45940</v>
      </c>
      <c r="E287" s="13">
        <v>45943</v>
      </c>
      <c r="F287" s="13">
        <v>45945</v>
      </c>
      <c r="G287" s="13">
        <v>45947</v>
      </c>
      <c r="H287" s="3" t="s">
        <v>13</v>
      </c>
      <c r="J287" s="4">
        <v>45975</v>
      </c>
      <c r="K287" s="3">
        <v>9</v>
      </c>
      <c r="L287" s="18">
        <f t="shared" si="20"/>
        <v>3</v>
      </c>
      <c r="M287">
        <f t="shared" si="17"/>
        <v>2</v>
      </c>
      <c r="N287">
        <f t="shared" si="18"/>
        <v>2</v>
      </c>
      <c r="O287" t="str">
        <f t="shared" si="19"/>
        <v>Promoter</v>
      </c>
    </row>
    <row r="288" spans="1:15" ht="14.25" customHeight="1" x14ac:dyDescent="0.3">
      <c r="A288" s="3" t="s">
        <v>307</v>
      </c>
      <c r="B288" s="3" t="s">
        <v>1021</v>
      </c>
      <c r="C288" s="3" t="s">
        <v>16</v>
      </c>
      <c r="D288" s="13">
        <v>45945</v>
      </c>
      <c r="H288" s="3" t="s">
        <v>17</v>
      </c>
      <c r="I288" s="3" t="s">
        <v>20</v>
      </c>
      <c r="M288">
        <f t="shared" si="17"/>
        <v>0</v>
      </c>
      <c r="N288">
        <f t="shared" si="18"/>
        <v>0</v>
      </c>
      <c r="O288" t="str">
        <f t="shared" si="19"/>
        <v>Detractor</v>
      </c>
    </row>
    <row r="289" spans="1:15" ht="14.25" customHeight="1" x14ac:dyDescent="0.3">
      <c r="A289" s="3" t="s">
        <v>308</v>
      </c>
      <c r="B289" s="3" t="s">
        <v>1021</v>
      </c>
      <c r="C289" s="3" t="s">
        <v>24</v>
      </c>
      <c r="D289" s="13">
        <v>45934</v>
      </c>
      <c r="E289" s="13">
        <v>45935</v>
      </c>
      <c r="F289" s="13">
        <v>45940</v>
      </c>
      <c r="G289" s="13">
        <v>45947</v>
      </c>
      <c r="H289" s="3" t="s">
        <v>13</v>
      </c>
      <c r="J289" s="4">
        <v>45958</v>
      </c>
      <c r="K289" s="3">
        <v>2</v>
      </c>
      <c r="L289" s="18">
        <f t="shared" si="20"/>
        <v>1</v>
      </c>
      <c r="M289">
        <f t="shared" si="17"/>
        <v>5</v>
      </c>
      <c r="N289">
        <f t="shared" si="18"/>
        <v>7</v>
      </c>
      <c r="O289" t="str">
        <f t="shared" si="19"/>
        <v>Detractor</v>
      </c>
    </row>
    <row r="290" spans="1:15" ht="14.25" customHeight="1" x14ac:dyDescent="0.3">
      <c r="A290" s="3" t="s">
        <v>309</v>
      </c>
      <c r="B290" s="3" t="s">
        <v>1022</v>
      </c>
      <c r="C290" s="3" t="s">
        <v>12</v>
      </c>
      <c r="D290" s="13">
        <v>45945</v>
      </c>
      <c r="E290" s="13">
        <v>45946</v>
      </c>
      <c r="F290" s="13">
        <v>45947</v>
      </c>
      <c r="G290" s="13">
        <v>45949</v>
      </c>
      <c r="H290" s="3" t="s">
        <v>17</v>
      </c>
      <c r="I290" s="3" t="s">
        <v>26</v>
      </c>
      <c r="L290" s="18">
        <f t="shared" si="20"/>
        <v>1</v>
      </c>
      <c r="M290">
        <f t="shared" si="17"/>
        <v>1</v>
      </c>
      <c r="N290">
        <f t="shared" si="18"/>
        <v>2</v>
      </c>
      <c r="O290" t="str">
        <f t="shared" si="19"/>
        <v>Detractor</v>
      </c>
    </row>
    <row r="291" spans="1:15" ht="14.25" customHeight="1" x14ac:dyDescent="0.3">
      <c r="A291" s="3" t="s">
        <v>310</v>
      </c>
      <c r="B291" s="3" t="s">
        <v>1023</v>
      </c>
      <c r="C291" s="3" t="s">
        <v>16</v>
      </c>
      <c r="D291" s="13">
        <v>45953</v>
      </c>
      <c r="H291" s="3" t="s">
        <v>17</v>
      </c>
      <c r="I291" s="3" t="s">
        <v>18</v>
      </c>
      <c r="M291">
        <f t="shared" si="17"/>
        <v>0</v>
      </c>
      <c r="N291">
        <f t="shared" si="18"/>
        <v>0</v>
      </c>
      <c r="O291" t="str">
        <f t="shared" si="19"/>
        <v>Detractor</v>
      </c>
    </row>
    <row r="292" spans="1:15" ht="14.25" customHeight="1" x14ac:dyDescent="0.3">
      <c r="A292" s="3" t="s">
        <v>311</v>
      </c>
      <c r="B292" s="3" t="s">
        <v>1024</v>
      </c>
      <c r="C292" s="3" t="s">
        <v>24</v>
      </c>
      <c r="D292" s="13">
        <v>45940</v>
      </c>
      <c r="E292" s="13">
        <v>45945</v>
      </c>
      <c r="F292" s="13">
        <v>45950</v>
      </c>
      <c r="G292" s="13">
        <v>45957</v>
      </c>
      <c r="H292" s="3" t="s">
        <v>13</v>
      </c>
      <c r="J292" s="4">
        <v>45971</v>
      </c>
      <c r="K292" s="3">
        <v>4</v>
      </c>
      <c r="L292" s="18">
        <f t="shared" si="20"/>
        <v>5</v>
      </c>
      <c r="M292">
        <f t="shared" si="17"/>
        <v>5</v>
      </c>
      <c r="N292">
        <f t="shared" si="18"/>
        <v>7</v>
      </c>
      <c r="O292" t="str">
        <f t="shared" si="19"/>
        <v>Detractor</v>
      </c>
    </row>
    <row r="293" spans="1:15" ht="14.25" customHeight="1" x14ac:dyDescent="0.3">
      <c r="A293" s="3" t="s">
        <v>312</v>
      </c>
      <c r="B293" s="3" t="s">
        <v>1023</v>
      </c>
      <c r="C293" s="3" t="s">
        <v>12</v>
      </c>
      <c r="D293" s="13">
        <v>45953</v>
      </c>
      <c r="E293" s="13">
        <v>45958</v>
      </c>
      <c r="F293" s="13">
        <v>45962</v>
      </c>
      <c r="G293" s="13">
        <v>45967</v>
      </c>
      <c r="H293" s="3" t="s">
        <v>13</v>
      </c>
      <c r="J293" s="4">
        <v>45980</v>
      </c>
      <c r="K293" s="3">
        <v>1</v>
      </c>
      <c r="L293" s="18">
        <f t="shared" si="20"/>
        <v>5</v>
      </c>
      <c r="M293">
        <f t="shared" si="17"/>
        <v>4</v>
      </c>
      <c r="N293">
        <f t="shared" si="18"/>
        <v>5</v>
      </c>
      <c r="O293" t="str">
        <f t="shared" si="19"/>
        <v>Detractor</v>
      </c>
    </row>
    <row r="294" spans="1:15" ht="14.25" customHeight="1" x14ac:dyDescent="0.3">
      <c r="A294" s="3" t="s">
        <v>313</v>
      </c>
      <c r="B294" s="3" t="s">
        <v>1022</v>
      </c>
      <c r="C294" s="3" t="s">
        <v>16</v>
      </c>
      <c r="D294" s="13">
        <v>45943</v>
      </c>
      <c r="H294" s="3" t="s">
        <v>17</v>
      </c>
      <c r="I294" s="3" t="s">
        <v>18</v>
      </c>
      <c r="M294">
        <f t="shared" si="17"/>
        <v>0</v>
      </c>
      <c r="N294">
        <f t="shared" si="18"/>
        <v>0</v>
      </c>
      <c r="O294" t="str">
        <f t="shared" si="19"/>
        <v>Detractor</v>
      </c>
    </row>
    <row r="295" spans="1:15" ht="14.25" customHeight="1" x14ac:dyDescent="0.3">
      <c r="A295" s="3" t="s">
        <v>314</v>
      </c>
      <c r="B295" s="3" t="s">
        <v>1022</v>
      </c>
      <c r="C295" s="3" t="s">
        <v>24</v>
      </c>
      <c r="D295" s="13">
        <v>45961</v>
      </c>
      <c r="E295" s="13">
        <v>45966</v>
      </c>
      <c r="F295" s="13">
        <v>45971</v>
      </c>
      <c r="G295" s="13">
        <v>45978</v>
      </c>
      <c r="H295" s="3" t="s">
        <v>13</v>
      </c>
      <c r="J295" s="4">
        <v>45990</v>
      </c>
      <c r="K295" s="3">
        <v>6</v>
      </c>
      <c r="L295" s="18">
        <f t="shared" si="20"/>
        <v>5</v>
      </c>
      <c r="M295">
        <f t="shared" si="17"/>
        <v>5</v>
      </c>
      <c r="N295">
        <f t="shared" si="18"/>
        <v>7</v>
      </c>
      <c r="O295" t="str">
        <f t="shared" si="19"/>
        <v>Detractor</v>
      </c>
    </row>
    <row r="296" spans="1:15" ht="14.25" customHeight="1" x14ac:dyDescent="0.3">
      <c r="A296" s="3" t="s">
        <v>315</v>
      </c>
      <c r="B296" s="3" t="s">
        <v>1023</v>
      </c>
      <c r="C296" s="3" t="s">
        <v>16</v>
      </c>
      <c r="D296" s="13">
        <v>45939</v>
      </c>
      <c r="H296" s="3" t="s">
        <v>17</v>
      </c>
      <c r="I296" s="3" t="s">
        <v>94</v>
      </c>
      <c r="M296">
        <f t="shared" si="17"/>
        <v>0</v>
      </c>
      <c r="N296">
        <f t="shared" si="18"/>
        <v>0</v>
      </c>
      <c r="O296" t="str">
        <f t="shared" si="19"/>
        <v>Detractor</v>
      </c>
    </row>
    <row r="297" spans="1:15" ht="14.25" customHeight="1" x14ac:dyDescent="0.3">
      <c r="A297" s="3" t="s">
        <v>316</v>
      </c>
      <c r="B297" s="3" t="s">
        <v>1024</v>
      </c>
      <c r="C297" s="3" t="s">
        <v>12</v>
      </c>
      <c r="D297" s="13">
        <v>45947</v>
      </c>
      <c r="E297" s="13">
        <v>45951</v>
      </c>
      <c r="F297" s="13">
        <v>45954</v>
      </c>
      <c r="G297" s="13">
        <v>45961</v>
      </c>
      <c r="H297" s="3" t="s">
        <v>17</v>
      </c>
      <c r="I297" s="3" t="s">
        <v>56</v>
      </c>
      <c r="L297" s="18">
        <f t="shared" si="20"/>
        <v>4</v>
      </c>
      <c r="M297">
        <f t="shared" si="17"/>
        <v>3</v>
      </c>
      <c r="N297">
        <f t="shared" si="18"/>
        <v>7</v>
      </c>
      <c r="O297" t="str">
        <f t="shared" si="19"/>
        <v>Detractor</v>
      </c>
    </row>
    <row r="298" spans="1:15" ht="14.25" customHeight="1" x14ac:dyDescent="0.3">
      <c r="A298" s="3" t="s">
        <v>317</v>
      </c>
      <c r="B298" s="3" t="s">
        <v>1024</v>
      </c>
      <c r="C298" s="3" t="s">
        <v>12</v>
      </c>
      <c r="D298" s="13">
        <v>45948</v>
      </c>
      <c r="E298" s="13">
        <v>45952</v>
      </c>
      <c r="F298" s="13">
        <v>45953</v>
      </c>
      <c r="G298" s="13">
        <v>45960</v>
      </c>
      <c r="H298" s="3" t="s">
        <v>13</v>
      </c>
      <c r="J298" s="4">
        <v>45981</v>
      </c>
      <c r="K298" s="3">
        <v>6</v>
      </c>
      <c r="L298" s="18">
        <f t="shared" si="20"/>
        <v>4</v>
      </c>
      <c r="M298">
        <f t="shared" si="17"/>
        <v>1</v>
      </c>
      <c r="N298">
        <f t="shared" si="18"/>
        <v>7</v>
      </c>
      <c r="O298" t="str">
        <f t="shared" si="19"/>
        <v>Detractor</v>
      </c>
    </row>
    <row r="299" spans="1:15" ht="14.25" customHeight="1" x14ac:dyDescent="0.3">
      <c r="A299" s="3" t="s">
        <v>318</v>
      </c>
      <c r="B299" s="3" t="s">
        <v>1021</v>
      </c>
      <c r="C299" s="3" t="s">
        <v>12</v>
      </c>
      <c r="D299" s="13">
        <v>45946</v>
      </c>
      <c r="E299" s="13">
        <v>45951</v>
      </c>
      <c r="F299" s="13">
        <v>45956</v>
      </c>
      <c r="G299" s="13">
        <v>45960</v>
      </c>
      <c r="H299" s="3" t="s">
        <v>13</v>
      </c>
      <c r="J299" s="4">
        <v>45987</v>
      </c>
      <c r="K299" s="3">
        <v>10</v>
      </c>
      <c r="L299" s="18">
        <f t="shared" si="20"/>
        <v>5</v>
      </c>
      <c r="M299">
        <f t="shared" si="17"/>
        <v>5</v>
      </c>
      <c r="N299">
        <f t="shared" si="18"/>
        <v>4</v>
      </c>
      <c r="O299" t="str">
        <f t="shared" si="19"/>
        <v>Promoter</v>
      </c>
    </row>
    <row r="300" spans="1:15" ht="14.25" customHeight="1" x14ac:dyDescent="0.3">
      <c r="A300" s="3" t="s">
        <v>319</v>
      </c>
      <c r="B300" s="3" t="s">
        <v>1024</v>
      </c>
      <c r="C300" s="3" t="s">
        <v>24</v>
      </c>
      <c r="D300" s="13">
        <v>45945</v>
      </c>
      <c r="E300" s="13">
        <v>45950</v>
      </c>
      <c r="F300" s="13">
        <v>45951</v>
      </c>
      <c r="G300" s="13">
        <v>45953</v>
      </c>
      <c r="H300" s="3" t="s">
        <v>13</v>
      </c>
      <c r="J300" s="4">
        <v>45976</v>
      </c>
      <c r="K300" s="3">
        <v>10</v>
      </c>
      <c r="L300" s="18">
        <f t="shared" si="20"/>
        <v>5</v>
      </c>
      <c r="M300">
        <f t="shared" si="17"/>
        <v>1</v>
      </c>
      <c r="N300">
        <f t="shared" si="18"/>
        <v>2</v>
      </c>
      <c r="O300" t="str">
        <f t="shared" si="19"/>
        <v>Promoter</v>
      </c>
    </row>
    <row r="301" spans="1:15" ht="14.25" customHeight="1" x14ac:dyDescent="0.3">
      <c r="A301" s="3" t="s">
        <v>320</v>
      </c>
      <c r="B301" s="3" t="s">
        <v>1023</v>
      </c>
      <c r="C301" s="3" t="s">
        <v>16</v>
      </c>
      <c r="D301" s="13">
        <v>45933</v>
      </c>
      <c r="H301" s="3" t="s">
        <v>17</v>
      </c>
      <c r="I301" s="3" t="s">
        <v>26</v>
      </c>
      <c r="M301">
        <f t="shared" si="17"/>
        <v>0</v>
      </c>
      <c r="N301">
        <f t="shared" si="18"/>
        <v>0</v>
      </c>
      <c r="O301" t="str">
        <f t="shared" si="19"/>
        <v>Detractor</v>
      </c>
    </row>
    <row r="302" spans="1:15" ht="14.25" customHeight="1" x14ac:dyDescent="0.3">
      <c r="A302" s="3" t="s">
        <v>321</v>
      </c>
      <c r="B302" s="3" t="s">
        <v>1022</v>
      </c>
      <c r="C302" s="3" t="s">
        <v>16</v>
      </c>
      <c r="D302" s="13">
        <v>45950</v>
      </c>
      <c r="H302" s="3" t="s">
        <v>17</v>
      </c>
      <c r="I302" s="3" t="s">
        <v>94</v>
      </c>
      <c r="M302">
        <f t="shared" si="17"/>
        <v>0</v>
      </c>
      <c r="N302">
        <f t="shared" si="18"/>
        <v>0</v>
      </c>
      <c r="O302" t="str">
        <f t="shared" si="19"/>
        <v>Detractor</v>
      </c>
    </row>
    <row r="303" spans="1:15" ht="14.25" customHeight="1" x14ac:dyDescent="0.3">
      <c r="A303" s="3" t="s">
        <v>322</v>
      </c>
      <c r="B303" s="3" t="s">
        <v>1021</v>
      </c>
      <c r="C303" s="3" t="s">
        <v>12</v>
      </c>
      <c r="D303" s="13">
        <v>45932</v>
      </c>
      <c r="E303" s="13">
        <v>45933</v>
      </c>
      <c r="F303" s="13">
        <v>45934</v>
      </c>
      <c r="G303" s="13">
        <v>45940</v>
      </c>
      <c r="H303" s="3" t="s">
        <v>13</v>
      </c>
      <c r="J303" s="4">
        <v>45968</v>
      </c>
      <c r="K303" s="3">
        <v>8</v>
      </c>
      <c r="L303" s="18">
        <f t="shared" si="20"/>
        <v>1</v>
      </c>
      <c r="M303">
        <f t="shared" si="17"/>
        <v>1</v>
      </c>
      <c r="N303">
        <f t="shared" si="18"/>
        <v>6</v>
      </c>
      <c r="O303" t="str">
        <f t="shared" si="19"/>
        <v>Passive</v>
      </c>
    </row>
    <row r="304" spans="1:15" ht="14.25" customHeight="1" x14ac:dyDescent="0.3">
      <c r="A304" s="3" t="s">
        <v>323</v>
      </c>
      <c r="B304" s="3" t="s">
        <v>1021</v>
      </c>
      <c r="C304" s="3" t="s">
        <v>12</v>
      </c>
      <c r="D304" s="13">
        <v>45959</v>
      </c>
      <c r="E304" s="13">
        <v>45963</v>
      </c>
      <c r="F304" s="13">
        <v>45968</v>
      </c>
      <c r="G304" s="13">
        <v>45973</v>
      </c>
      <c r="H304" s="3" t="s">
        <v>13</v>
      </c>
      <c r="J304" s="4">
        <v>45990</v>
      </c>
      <c r="K304" s="3">
        <v>5</v>
      </c>
      <c r="L304" s="18">
        <f t="shared" si="20"/>
        <v>4</v>
      </c>
      <c r="M304">
        <f t="shared" si="17"/>
        <v>5</v>
      </c>
      <c r="N304">
        <f t="shared" si="18"/>
        <v>5</v>
      </c>
      <c r="O304" t="str">
        <f t="shared" si="19"/>
        <v>Detractor</v>
      </c>
    </row>
    <row r="305" spans="1:15" ht="14.25" customHeight="1" x14ac:dyDescent="0.3">
      <c r="A305" s="3" t="s">
        <v>324</v>
      </c>
      <c r="B305" s="3" t="s">
        <v>1022</v>
      </c>
      <c r="C305" s="3" t="s">
        <v>12</v>
      </c>
      <c r="D305" s="13">
        <v>45944</v>
      </c>
      <c r="E305" s="13">
        <v>45949</v>
      </c>
      <c r="F305" s="13">
        <v>45954</v>
      </c>
      <c r="G305" s="13">
        <v>45957</v>
      </c>
      <c r="H305" s="3" t="s">
        <v>13</v>
      </c>
      <c r="J305" s="4">
        <v>45984</v>
      </c>
      <c r="K305" s="3">
        <v>6</v>
      </c>
      <c r="L305" s="18">
        <f t="shared" si="20"/>
        <v>5</v>
      </c>
      <c r="M305">
        <f t="shared" si="17"/>
        <v>5</v>
      </c>
      <c r="N305">
        <f t="shared" si="18"/>
        <v>3</v>
      </c>
      <c r="O305" t="str">
        <f t="shared" si="19"/>
        <v>Detractor</v>
      </c>
    </row>
    <row r="306" spans="1:15" ht="14.25" customHeight="1" x14ac:dyDescent="0.3">
      <c r="A306" s="3" t="s">
        <v>325</v>
      </c>
      <c r="B306" s="3" t="s">
        <v>1024</v>
      </c>
      <c r="C306" s="3" t="s">
        <v>12</v>
      </c>
      <c r="D306" s="13">
        <v>45954</v>
      </c>
      <c r="E306" s="13">
        <v>45956</v>
      </c>
      <c r="F306" s="13">
        <v>45958</v>
      </c>
      <c r="G306" s="13">
        <v>45963</v>
      </c>
      <c r="H306" s="3" t="s">
        <v>13</v>
      </c>
      <c r="J306" s="4">
        <v>45974</v>
      </c>
      <c r="K306" s="3">
        <v>1</v>
      </c>
      <c r="L306" s="18">
        <f t="shared" si="20"/>
        <v>2</v>
      </c>
      <c r="M306">
        <f t="shared" si="17"/>
        <v>2</v>
      </c>
      <c r="N306">
        <f t="shared" si="18"/>
        <v>5</v>
      </c>
      <c r="O306" t="str">
        <f t="shared" si="19"/>
        <v>Detractor</v>
      </c>
    </row>
    <row r="307" spans="1:15" ht="14.25" customHeight="1" x14ac:dyDescent="0.3">
      <c r="A307" s="3" t="s">
        <v>326</v>
      </c>
      <c r="B307" s="3" t="s">
        <v>1022</v>
      </c>
      <c r="C307" s="3" t="s">
        <v>12</v>
      </c>
      <c r="D307" s="13">
        <v>45941</v>
      </c>
      <c r="E307" s="13">
        <v>45944</v>
      </c>
      <c r="F307" s="13">
        <v>45949</v>
      </c>
      <c r="G307" s="13">
        <v>45952</v>
      </c>
      <c r="H307" s="3" t="s">
        <v>13</v>
      </c>
      <c r="J307" s="4">
        <v>45974</v>
      </c>
      <c r="K307" s="3">
        <v>1</v>
      </c>
      <c r="L307" s="18">
        <f t="shared" si="20"/>
        <v>3</v>
      </c>
      <c r="M307">
        <f t="shared" si="17"/>
        <v>5</v>
      </c>
      <c r="N307">
        <f t="shared" si="18"/>
        <v>3</v>
      </c>
      <c r="O307" t="str">
        <f t="shared" si="19"/>
        <v>Detractor</v>
      </c>
    </row>
    <row r="308" spans="1:15" ht="14.25" customHeight="1" x14ac:dyDescent="0.3">
      <c r="A308" s="3" t="s">
        <v>327</v>
      </c>
      <c r="B308" s="3" t="s">
        <v>1024</v>
      </c>
      <c r="C308" s="3" t="s">
        <v>12</v>
      </c>
      <c r="D308" s="13">
        <v>45950</v>
      </c>
      <c r="E308" s="13">
        <v>45955</v>
      </c>
      <c r="F308" s="13">
        <v>45960</v>
      </c>
      <c r="G308" s="13">
        <v>45965</v>
      </c>
      <c r="H308" s="3" t="s">
        <v>13</v>
      </c>
      <c r="J308" s="4">
        <v>45991</v>
      </c>
      <c r="K308" s="3">
        <v>8</v>
      </c>
      <c r="L308" s="18">
        <f t="shared" si="20"/>
        <v>5</v>
      </c>
      <c r="M308">
        <f t="shared" si="17"/>
        <v>5</v>
      </c>
      <c r="N308">
        <f t="shared" si="18"/>
        <v>5</v>
      </c>
      <c r="O308" t="str">
        <f t="shared" si="19"/>
        <v>Passive</v>
      </c>
    </row>
    <row r="309" spans="1:15" ht="14.25" customHeight="1" x14ac:dyDescent="0.3">
      <c r="A309" s="3" t="s">
        <v>328</v>
      </c>
      <c r="B309" s="3" t="s">
        <v>1022</v>
      </c>
      <c r="C309" s="3" t="s">
        <v>12</v>
      </c>
      <c r="D309" s="13">
        <v>45939</v>
      </c>
      <c r="E309" s="13">
        <v>45943</v>
      </c>
      <c r="F309" s="13">
        <v>45945</v>
      </c>
      <c r="G309" s="13">
        <v>45949</v>
      </c>
      <c r="H309" s="3" t="s">
        <v>13</v>
      </c>
      <c r="J309" s="4">
        <v>45972</v>
      </c>
      <c r="K309" s="3">
        <v>9</v>
      </c>
      <c r="L309" s="18">
        <f t="shared" si="20"/>
        <v>4</v>
      </c>
      <c r="M309">
        <f t="shared" si="17"/>
        <v>2</v>
      </c>
      <c r="N309">
        <f t="shared" si="18"/>
        <v>4</v>
      </c>
      <c r="O309" t="str">
        <f t="shared" si="19"/>
        <v>Promoter</v>
      </c>
    </row>
    <row r="310" spans="1:15" ht="14.25" customHeight="1" x14ac:dyDescent="0.3">
      <c r="A310" s="3" t="s">
        <v>329</v>
      </c>
      <c r="B310" s="3" t="s">
        <v>1023</v>
      </c>
      <c r="C310" s="3" t="s">
        <v>12</v>
      </c>
      <c r="D310" s="13">
        <v>45931</v>
      </c>
      <c r="E310" s="13">
        <v>45936</v>
      </c>
      <c r="F310" s="13">
        <v>45938</v>
      </c>
      <c r="G310" s="13">
        <v>45942</v>
      </c>
      <c r="H310" s="3" t="s">
        <v>13</v>
      </c>
      <c r="J310" s="4">
        <v>45969</v>
      </c>
      <c r="K310" s="3">
        <v>6</v>
      </c>
      <c r="L310" s="18">
        <f t="shared" si="20"/>
        <v>5</v>
      </c>
      <c r="M310">
        <f t="shared" si="17"/>
        <v>2</v>
      </c>
      <c r="N310">
        <f t="shared" si="18"/>
        <v>4</v>
      </c>
      <c r="O310" t="str">
        <f t="shared" si="19"/>
        <v>Detractor</v>
      </c>
    </row>
    <row r="311" spans="1:15" ht="14.25" customHeight="1" x14ac:dyDescent="0.3">
      <c r="A311" s="3" t="s">
        <v>330</v>
      </c>
      <c r="B311" s="3" t="s">
        <v>1024</v>
      </c>
      <c r="C311" s="3" t="s">
        <v>12</v>
      </c>
      <c r="D311" s="13">
        <v>45933</v>
      </c>
      <c r="E311" s="13">
        <v>45935</v>
      </c>
      <c r="F311" s="13">
        <v>45938</v>
      </c>
      <c r="G311" s="13">
        <v>45942</v>
      </c>
      <c r="H311" s="3" t="s">
        <v>13</v>
      </c>
      <c r="J311" s="4">
        <v>45967</v>
      </c>
      <c r="K311" s="3">
        <v>5</v>
      </c>
      <c r="L311" s="18">
        <f t="shared" si="20"/>
        <v>2</v>
      </c>
      <c r="M311">
        <f t="shared" si="17"/>
        <v>3</v>
      </c>
      <c r="N311">
        <f t="shared" si="18"/>
        <v>4</v>
      </c>
      <c r="O311" t="str">
        <f t="shared" si="19"/>
        <v>Detractor</v>
      </c>
    </row>
    <row r="312" spans="1:15" ht="14.25" customHeight="1" x14ac:dyDescent="0.3">
      <c r="A312" s="3" t="s">
        <v>331</v>
      </c>
      <c r="B312" s="3" t="s">
        <v>1023</v>
      </c>
      <c r="C312" s="3" t="s">
        <v>24</v>
      </c>
      <c r="D312" s="13">
        <v>45938</v>
      </c>
      <c r="E312" s="13">
        <v>45939</v>
      </c>
      <c r="F312" s="13">
        <v>45944</v>
      </c>
      <c r="G312" s="13">
        <v>45948</v>
      </c>
      <c r="H312" s="3" t="s">
        <v>13</v>
      </c>
      <c r="J312" s="4">
        <v>45976</v>
      </c>
      <c r="K312" s="3">
        <v>3</v>
      </c>
      <c r="L312" s="18">
        <f t="shared" si="20"/>
        <v>1</v>
      </c>
      <c r="M312">
        <f t="shared" si="17"/>
        <v>5</v>
      </c>
      <c r="N312">
        <f t="shared" si="18"/>
        <v>4</v>
      </c>
      <c r="O312" t="str">
        <f t="shared" si="19"/>
        <v>Detractor</v>
      </c>
    </row>
    <row r="313" spans="1:15" ht="14.25" customHeight="1" x14ac:dyDescent="0.3">
      <c r="A313" s="3" t="s">
        <v>332</v>
      </c>
      <c r="B313" s="3" t="s">
        <v>1021</v>
      </c>
      <c r="C313" s="3" t="s">
        <v>24</v>
      </c>
      <c r="D313" s="13">
        <v>45961</v>
      </c>
      <c r="E313" s="13">
        <v>45965</v>
      </c>
      <c r="F313" s="13">
        <v>45969</v>
      </c>
      <c r="G313" s="13">
        <v>45975</v>
      </c>
      <c r="H313" s="3" t="s">
        <v>13</v>
      </c>
      <c r="J313" s="4">
        <v>45992</v>
      </c>
      <c r="K313" s="3">
        <v>6</v>
      </c>
      <c r="L313" s="18">
        <f t="shared" si="20"/>
        <v>4</v>
      </c>
      <c r="M313">
        <f t="shared" si="17"/>
        <v>4</v>
      </c>
      <c r="N313">
        <f t="shared" si="18"/>
        <v>6</v>
      </c>
      <c r="O313" t="str">
        <f t="shared" si="19"/>
        <v>Detractor</v>
      </c>
    </row>
    <row r="314" spans="1:15" ht="14.25" customHeight="1" x14ac:dyDescent="0.3">
      <c r="A314" s="3" t="s">
        <v>333</v>
      </c>
      <c r="B314" s="3" t="s">
        <v>1022</v>
      </c>
      <c r="C314" s="3" t="s">
        <v>12</v>
      </c>
      <c r="D314" s="13">
        <v>45952</v>
      </c>
      <c r="E314" s="13">
        <v>45953</v>
      </c>
      <c r="F314" s="13">
        <v>45954</v>
      </c>
      <c r="G314" s="13">
        <v>45960</v>
      </c>
      <c r="H314" s="3" t="s">
        <v>13</v>
      </c>
      <c r="J314" s="4">
        <v>45985</v>
      </c>
      <c r="K314" s="3">
        <v>6</v>
      </c>
      <c r="L314" s="18">
        <f t="shared" si="20"/>
        <v>1</v>
      </c>
      <c r="M314">
        <f t="shared" si="17"/>
        <v>1</v>
      </c>
      <c r="N314">
        <f t="shared" si="18"/>
        <v>6</v>
      </c>
      <c r="O314" t="str">
        <f t="shared" si="19"/>
        <v>Detractor</v>
      </c>
    </row>
    <row r="315" spans="1:15" ht="14.25" customHeight="1" x14ac:dyDescent="0.3">
      <c r="A315" s="3" t="s">
        <v>334</v>
      </c>
      <c r="B315" s="3" t="s">
        <v>1021</v>
      </c>
      <c r="C315" s="3" t="s">
        <v>12</v>
      </c>
      <c r="D315" s="13">
        <v>45957</v>
      </c>
      <c r="E315" s="13">
        <v>45960</v>
      </c>
      <c r="F315" s="13">
        <v>45962</v>
      </c>
      <c r="G315" s="13">
        <v>45965</v>
      </c>
      <c r="H315" s="3" t="s">
        <v>13</v>
      </c>
      <c r="J315" s="4">
        <v>45984</v>
      </c>
      <c r="K315" s="3">
        <v>6</v>
      </c>
      <c r="L315" s="18">
        <f t="shared" si="20"/>
        <v>3</v>
      </c>
      <c r="M315">
        <f t="shared" si="17"/>
        <v>2</v>
      </c>
      <c r="N315">
        <f t="shared" si="18"/>
        <v>3</v>
      </c>
      <c r="O315" t="str">
        <f t="shared" si="19"/>
        <v>Detractor</v>
      </c>
    </row>
    <row r="316" spans="1:15" ht="14.25" customHeight="1" x14ac:dyDescent="0.3">
      <c r="A316" s="3" t="s">
        <v>335</v>
      </c>
      <c r="B316" s="3" t="s">
        <v>1021</v>
      </c>
      <c r="C316" s="3" t="s">
        <v>12</v>
      </c>
      <c r="D316" s="13">
        <v>45958</v>
      </c>
      <c r="E316" s="13">
        <v>45959</v>
      </c>
      <c r="F316" s="13">
        <v>45964</v>
      </c>
      <c r="G316" s="13">
        <v>45970</v>
      </c>
      <c r="H316" s="3" t="s">
        <v>13</v>
      </c>
      <c r="J316" s="4">
        <v>45982</v>
      </c>
      <c r="K316" s="3">
        <v>4</v>
      </c>
      <c r="L316" s="18">
        <f t="shared" si="20"/>
        <v>1</v>
      </c>
      <c r="M316">
        <f t="shared" si="17"/>
        <v>5</v>
      </c>
      <c r="N316">
        <f t="shared" si="18"/>
        <v>6</v>
      </c>
      <c r="O316" t="str">
        <f t="shared" si="19"/>
        <v>Detractor</v>
      </c>
    </row>
    <row r="317" spans="1:15" ht="14.25" customHeight="1" x14ac:dyDescent="0.3">
      <c r="A317" s="3" t="s">
        <v>336</v>
      </c>
      <c r="B317" s="3" t="s">
        <v>1021</v>
      </c>
      <c r="C317" s="3" t="s">
        <v>12</v>
      </c>
      <c r="D317" s="13">
        <v>45949</v>
      </c>
      <c r="E317" s="13">
        <v>45954</v>
      </c>
      <c r="F317" s="13">
        <v>45958</v>
      </c>
      <c r="G317" s="13">
        <v>45963</v>
      </c>
      <c r="H317" s="3" t="s">
        <v>13</v>
      </c>
      <c r="J317" s="4">
        <v>45985</v>
      </c>
      <c r="K317" s="3">
        <v>5</v>
      </c>
      <c r="L317" s="18">
        <f t="shared" si="20"/>
        <v>5</v>
      </c>
      <c r="M317">
        <f t="shared" si="17"/>
        <v>4</v>
      </c>
      <c r="N317">
        <f t="shared" si="18"/>
        <v>5</v>
      </c>
      <c r="O317" t="str">
        <f t="shared" si="19"/>
        <v>Detractor</v>
      </c>
    </row>
    <row r="318" spans="1:15" ht="14.25" customHeight="1" x14ac:dyDescent="0.3">
      <c r="A318" s="3" t="s">
        <v>337</v>
      </c>
      <c r="B318" s="3" t="s">
        <v>1021</v>
      </c>
      <c r="C318" s="3" t="s">
        <v>12</v>
      </c>
      <c r="D318" s="13">
        <v>45949</v>
      </c>
      <c r="E318" s="13">
        <v>45951</v>
      </c>
      <c r="F318" s="13">
        <v>45952</v>
      </c>
      <c r="G318" s="13">
        <v>45956</v>
      </c>
      <c r="H318" s="3" t="s">
        <v>13</v>
      </c>
      <c r="J318" s="4">
        <v>45967</v>
      </c>
      <c r="K318" s="3">
        <v>9</v>
      </c>
      <c r="L318" s="18">
        <f t="shared" si="20"/>
        <v>2</v>
      </c>
      <c r="M318">
        <f t="shared" si="17"/>
        <v>1</v>
      </c>
      <c r="N318">
        <f t="shared" si="18"/>
        <v>4</v>
      </c>
      <c r="O318" t="str">
        <f t="shared" si="19"/>
        <v>Promoter</v>
      </c>
    </row>
    <row r="319" spans="1:15" ht="14.25" customHeight="1" x14ac:dyDescent="0.3">
      <c r="A319" s="3" t="s">
        <v>338</v>
      </c>
      <c r="B319" s="3" t="s">
        <v>1022</v>
      </c>
      <c r="C319" s="3" t="s">
        <v>12</v>
      </c>
      <c r="D319" s="13">
        <v>45961</v>
      </c>
      <c r="E319" s="13">
        <v>45962</v>
      </c>
      <c r="F319" s="13">
        <v>45967</v>
      </c>
      <c r="G319" s="13">
        <v>45974</v>
      </c>
      <c r="H319" s="3" t="s">
        <v>17</v>
      </c>
      <c r="I319" s="3" t="s">
        <v>56</v>
      </c>
      <c r="L319" s="18">
        <f t="shared" si="20"/>
        <v>1</v>
      </c>
      <c r="M319">
        <f t="shared" si="17"/>
        <v>5</v>
      </c>
      <c r="N319">
        <f t="shared" si="18"/>
        <v>7</v>
      </c>
      <c r="O319" t="str">
        <f t="shared" si="19"/>
        <v>Detractor</v>
      </c>
    </row>
    <row r="320" spans="1:15" ht="14.25" customHeight="1" x14ac:dyDescent="0.3">
      <c r="A320" s="3" t="s">
        <v>339</v>
      </c>
      <c r="B320" s="3" t="s">
        <v>1021</v>
      </c>
      <c r="C320" s="3" t="s">
        <v>12</v>
      </c>
      <c r="D320" s="13">
        <v>45931</v>
      </c>
      <c r="E320" s="13">
        <v>45933</v>
      </c>
      <c r="F320" s="13">
        <v>45937</v>
      </c>
      <c r="G320" s="13">
        <v>45939</v>
      </c>
      <c r="H320" s="3" t="s">
        <v>13</v>
      </c>
      <c r="J320" s="4">
        <v>45965</v>
      </c>
      <c r="K320" s="3">
        <v>6</v>
      </c>
      <c r="L320" s="18">
        <f t="shared" si="20"/>
        <v>2</v>
      </c>
      <c r="M320">
        <f t="shared" si="17"/>
        <v>4</v>
      </c>
      <c r="N320">
        <f t="shared" si="18"/>
        <v>2</v>
      </c>
      <c r="O320" t="str">
        <f t="shared" si="19"/>
        <v>Detractor</v>
      </c>
    </row>
    <row r="321" spans="1:15" ht="14.25" customHeight="1" x14ac:dyDescent="0.3">
      <c r="A321" s="3" t="s">
        <v>340</v>
      </c>
      <c r="B321" s="3" t="s">
        <v>1022</v>
      </c>
      <c r="C321" s="3" t="s">
        <v>12</v>
      </c>
      <c r="D321" s="13">
        <v>45955</v>
      </c>
      <c r="E321" s="13">
        <v>45959</v>
      </c>
      <c r="F321" s="13">
        <v>45960</v>
      </c>
      <c r="G321" s="13">
        <v>45962</v>
      </c>
      <c r="H321" s="3" t="s">
        <v>17</v>
      </c>
      <c r="I321" s="3" t="s">
        <v>26</v>
      </c>
      <c r="L321" s="18">
        <f t="shared" si="20"/>
        <v>4</v>
      </c>
      <c r="M321">
        <f t="shared" si="17"/>
        <v>1</v>
      </c>
      <c r="N321">
        <f t="shared" si="18"/>
        <v>2</v>
      </c>
      <c r="O321" t="str">
        <f t="shared" si="19"/>
        <v>Detractor</v>
      </c>
    </row>
    <row r="322" spans="1:15" ht="14.25" customHeight="1" x14ac:dyDescent="0.3">
      <c r="A322" s="3" t="s">
        <v>341</v>
      </c>
      <c r="B322" s="3" t="s">
        <v>1022</v>
      </c>
      <c r="C322" s="3" t="s">
        <v>12</v>
      </c>
      <c r="D322" s="13">
        <v>45952</v>
      </c>
      <c r="E322" s="13">
        <v>45956</v>
      </c>
      <c r="F322" s="13">
        <v>45960</v>
      </c>
      <c r="G322" s="13">
        <v>45962</v>
      </c>
      <c r="H322" s="3" t="s">
        <v>13</v>
      </c>
      <c r="J322" s="4">
        <v>45990</v>
      </c>
      <c r="K322" s="3">
        <v>4</v>
      </c>
      <c r="L322" s="18">
        <f t="shared" si="20"/>
        <v>4</v>
      </c>
      <c r="M322">
        <f t="shared" si="17"/>
        <v>4</v>
      </c>
      <c r="N322">
        <f t="shared" si="18"/>
        <v>2</v>
      </c>
      <c r="O322" t="str">
        <f t="shared" si="19"/>
        <v>Detractor</v>
      </c>
    </row>
    <row r="323" spans="1:15" ht="14.25" customHeight="1" x14ac:dyDescent="0.3">
      <c r="A323" s="3" t="s">
        <v>342</v>
      </c>
      <c r="B323" s="3" t="s">
        <v>1023</v>
      </c>
      <c r="C323" s="3" t="s">
        <v>16</v>
      </c>
      <c r="D323" s="13">
        <v>45957</v>
      </c>
      <c r="H323" s="3" t="s">
        <v>17</v>
      </c>
      <c r="I323" s="3" t="s">
        <v>20</v>
      </c>
      <c r="M323">
        <f t="shared" ref="M323:M386" si="21">F323-E323</f>
        <v>0</v>
      </c>
      <c r="N323">
        <f t="shared" ref="N323:N386" si="22">G323-F323</f>
        <v>0</v>
      </c>
      <c r="O323" t="str">
        <f t="shared" ref="O323:O386" si="23">IF(K323&gt;=9,"Promoter",IF(K323&lt;=6,"Detractor","Passive"))</f>
        <v>Detractor</v>
      </c>
    </row>
    <row r="324" spans="1:15" ht="14.25" customHeight="1" x14ac:dyDescent="0.3">
      <c r="A324" s="3" t="s">
        <v>343</v>
      </c>
      <c r="B324" s="3" t="s">
        <v>1024</v>
      </c>
      <c r="C324" s="3" t="s">
        <v>12</v>
      </c>
      <c r="D324" s="13">
        <v>45939</v>
      </c>
      <c r="E324" s="13">
        <v>45944</v>
      </c>
      <c r="F324" s="13">
        <v>45946</v>
      </c>
      <c r="G324" s="13">
        <v>45953</v>
      </c>
      <c r="H324" s="3" t="s">
        <v>17</v>
      </c>
      <c r="I324" s="3" t="s">
        <v>56</v>
      </c>
      <c r="L324" s="18">
        <f t="shared" ref="L324:L386" si="24">E324-D324</f>
        <v>5</v>
      </c>
      <c r="M324">
        <f t="shared" si="21"/>
        <v>2</v>
      </c>
      <c r="N324">
        <f t="shared" si="22"/>
        <v>7</v>
      </c>
      <c r="O324" t="str">
        <f t="shared" si="23"/>
        <v>Detractor</v>
      </c>
    </row>
    <row r="325" spans="1:15" ht="14.25" customHeight="1" x14ac:dyDescent="0.3">
      <c r="A325" s="3" t="s">
        <v>344</v>
      </c>
      <c r="B325" s="3" t="s">
        <v>1024</v>
      </c>
      <c r="C325" s="3" t="s">
        <v>24</v>
      </c>
      <c r="D325" s="13">
        <v>45949</v>
      </c>
      <c r="E325" s="13">
        <v>45954</v>
      </c>
      <c r="F325" s="13">
        <v>45959</v>
      </c>
      <c r="G325" s="13">
        <v>45964</v>
      </c>
      <c r="H325" s="3" t="s">
        <v>13</v>
      </c>
      <c r="J325" s="4">
        <v>45990</v>
      </c>
      <c r="K325" s="3">
        <v>2</v>
      </c>
      <c r="L325" s="18">
        <f t="shared" si="24"/>
        <v>5</v>
      </c>
      <c r="M325">
        <f t="shared" si="21"/>
        <v>5</v>
      </c>
      <c r="N325">
        <f t="shared" si="22"/>
        <v>5</v>
      </c>
      <c r="O325" t="str">
        <f t="shared" si="23"/>
        <v>Detractor</v>
      </c>
    </row>
    <row r="326" spans="1:15" ht="14.25" customHeight="1" x14ac:dyDescent="0.3">
      <c r="A326" s="3" t="s">
        <v>345</v>
      </c>
      <c r="B326" s="3" t="s">
        <v>1022</v>
      </c>
      <c r="C326" s="3" t="s">
        <v>24</v>
      </c>
      <c r="D326" s="13">
        <v>45932</v>
      </c>
      <c r="E326" s="13">
        <v>45937</v>
      </c>
      <c r="F326" s="13">
        <v>45941</v>
      </c>
      <c r="G326" s="13">
        <v>45943</v>
      </c>
      <c r="H326" s="3" t="s">
        <v>17</v>
      </c>
      <c r="I326" s="3" t="s">
        <v>18</v>
      </c>
      <c r="L326" s="18">
        <f t="shared" si="24"/>
        <v>5</v>
      </c>
      <c r="M326">
        <f t="shared" si="21"/>
        <v>4</v>
      </c>
      <c r="N326">
        <f t="shared" si="22"/>
        <v>2</v>
      </c>
      <c r="O326" t="str">
        <f t="shared" si="23"/>
        <v>Detractor</v>
      </c>
    </row>
    <row r="327" spans="1:15" ht="14.25" customHeight="1" x14ac:dyDescent="0.3">
      <c r="A327" s="3" t="s">
        <v>346</v>
      </c>
      <c r="B327" s="3" t="s">
        <v>1023</v>
      </c>
      <c r="C327" s="3" t="s">
        <v>24</v>
      </c>
      <c r="D327" s="13">
        <v>45955</v>
      </c>
      <c r="E327" s="13">
        <v>45957</v>
      </c>
      <c r="F327" s="13">
        <v>45961</v>
      </c>
      <c r="G327" s="13">
        <v>45963</v>
      </c>
      <c r="H327" s="3" t="s">
        <v>13</v>
      </c>
      <c r="J327" s="4">
        <v>45991</v>
      </c>
      <c r="K327" s="3">
        <v>10</v>
      </c>
      <c r="L327" s="18">
        <f t="shared" si="24"/>
        <v>2</v>
      </c>
      <c r="M327">
        <f t="shared" si="21"/>
        <v>4</v>
      </c>
      <c r="N327">
        <f t="shared" si="22"/>
        <v>2</v>
      </c>
      <c r="O327" t="str">
        <f t="shared" si="23"/>
        <v>Promoter</v>
      </c>
    </row>
    <row r="328" spans="1:15" ht="14.25" customHeight="1" x14ac:dyDescent="0.3">
      <c r="A328" s="3" t="s">
        <v>347</v>
      </c>
      <c r="B328" s="3" t="s">
        <v>1022</v>
      </c>
      <c r="C328" s="3" t="s">
        <v>12</v>
      </c>
      <c r="D328" s="13">
        <v>45955</v>
      </c>
      <c r="E328" s="13">
        <v>45958</v>
      </c>
      <c r="F328" s="13">
        <v>45963</v>
      </c>
      <c r="G328" s="13">
        <v>45966</v>
      </c>
      <c r="H328" s="3" t="s">
        <v>13</v>
      </c>
      <c r="J328" s="4">
        <v>45995</v>
      </c>
      <c r="K328" s="3">
        <v>6</v>
      </c>
      <c r="L328" s="18">
        <f t="shared" si="24"/>
        <v>3</v>
      </c>
      <c r="M328">
        <f t="shared" si="21"/>
        <v>5</v>
      </c>
      <c r="N328">
        <f t="shared" si="22"/>
        <v>3</v>
      </c>
      <c r="O328" t="str">
        <f t="shared" si="23"/>
        <v>Detractor</v>
      </c>
    </row>
    <row r="329" spans="1:15" ht="14.25" customHeight="1" x14ac:dyDescent="0.3">
      <c r="A329" s="3" t="s">
        <v>348</v>
      </c>
      <c r="B329" s="3" t="s">
        <v>1022</v>
      </c>
      <c r="C329" s="3" t="s">
        <v>12</v>
      </c>
      <c r="D329" s="13">
        <v>45936</v>
      </c>
      <c r="E329" s="13">
        <v>45939</v>
      </c>
      <c r="F329" s="13">
        <v>45940</v>
      </c>
      <c r="G329" s="13">
        <v>45945</v>
      </c>
      <c r="H329" s="3" t="s">
        <v>13</v>
      </c>
      <c r="J329" s="4">
        <v>45959</v>
      </c>
      <c r="K329" s="3">
        <v>7</v>
      </c>
      <c r="L329" s="18">
        <f t="shared" si="24"/>
        <v>3</v>
      </c>
      <c r="M329">
        <f t="shared" si="21"/>
        <v>1</v>
      </c>
      <c r="N329">
        <f t="shared" si="22"/>
        <v>5</v>
      </c>
      <c r="O329" t="str">
        <f t="shared" si="23"/>
        <v>Passive</v>
      </c>
    </row>
    <row r="330" spans="1:15" ht="14.25" customHeight="1" x14ac:dyDescent="0.3">
      <c r="A330" s="3" t="s">
        <v>349</v>
      </c>
      <c r="B330" s="3" t="s">
        <v>1022</v>
      </c>
      <c r="C330" s="3" t="s">
        <v>12</v>
      </c>
      <c r="D330" s="13">
        <v>45946</v>
      </c>
      <c r="E330" s="13">
        <v>45949</v>
      </c>
      <c r="F330" s="13">
        <v>45954</v>
      </c>
      <c r="G330" s="13">
        <v>45959</v>
      </c>
      <c r="H330" s="3" t="s">
        <v>13</v>
      </c>
      <c r="J330" s="4">
        <v>45972</v>
      </c>
      <c r="K330" s="3">
        <v>3</v>
      </c>
      <c r="L330" s="18">
        <f t="shared" si="24"/>
        <v>3</v>
      </c>
      <c r="M330">
        <f t="shared" si="21"/>
        <v>5</v>
      </c>
      <c r="N330">
        <f t="shared" si="22"/>
        <v>5</v>
      </c>
      <c r="O330" t="str">
        <f t="shared" si="23"/>
        <v>Detractor</v>
      </c>
    </row>
    <row r="331" spans="1:15" ht="14.25" customHeight="1" x14ac:dyDescent="0.3">
      <c r="A331" s="3" t="s">
        <v>350</v>
      </c>
      <c r="B331" s="3" t="s">
        <v>1023</v>
      </c>
      <c r="C331" s="3" t="s">
        <v>12</v>
      </c>
      <c r="D331" s="13">
        <v>45947</v>
      </c>
      <c r="E331" s="13">
        <v>45951</v>
      </c>
      <c r="F331" s="13">
        <v>45955</v>
      </c>
      <c r="G331" s="13">
        <v>45957</v>
      </c>
      <c r="H331" s="3" t="s">
        <v>13</v>
      </c>
      <c r="J331" s="4">
        <v>45981</v>
      </c>
      <c r="K331" s="3">
        <v>2</v>
      </c>
      <c r="L331" s="18">
        <f t="shared" si="24"/>
        <v>4</v>
      </c>
      <c r="M331">
        <f t="shared" si="21"/>
        <v>4</v>
      </c>
      <c r="N331">
        <f t="shared" si="22"/>
        <v>2</v>
      </c>
      <c r="O331" t="str">
        <f t="shared" si="23"/>
        <v>Detractor</v>
      </c>
    </row>
    <row r="332" spans="1:15" ht="14.25" customHeight="1" x14ac:dyDescent="0.3">
      <c r="A332" s="3" t="s">
        <v>351</v>
      </c>
      <c r="B332" s="3" t="s">
        <v>1024</v>
      </c>
      <c r="C332" s="3" t="s">
        <v>24</v>
      </c>
      <c r="D332" s="13">
        <v>45951</v>
      </c>
      <c r="E332" s="13">
        <v>45955</v>
      </c>
      <c r="F332" s="13">
        <v>45958</v>
      </c>
      <c r="G332" s="13">
        <v>45963</v>
      </c>
      <c r="H332" s="3" t="s">
        <v>13</v>
      </c>
      <c r="J332" s="4">
        <v>45978</v>
      </c>
      <c r="K332" s="3">
        <v>1</v>
      </c>
      <c r="L332" s="18">
        <f t="shared" si="24"/>
        <v>4</v>
      </c>
      <c r="M332">
        <f t="shared" si="21"/>
        <v>3</v>
      </c>
      <c r="N332">
        <f t="shared" si="22"/>
        <v>5</v>
      </c>
      <c r="O332" t="str">
        <f t="shared" si="23"/>
        <v>Detractor</v>
      </c>
    </row>
    <row r="333" spans="1:15" ht="14.25" customHeight="1" x14ac:dyDescent="0.3">
      <c r="A333" s="3" t="s">
        <v>352</v>
      </c>
      <c r="B333" s="3" t="s">
        <v>1023</v>
      </c>
      <c r="C333" s="3" t="s">
        <v>12</v>
      </c>
      <c r="D333" s="13">
        <v>45945</v>
      </c>
      <c r="E333" s="13">
        <v>45948</v>
      </c>
      <c r="F333" s="13">
        <v>45949</v>
      </c>
      <c r="G333" s="13">
        <v>45952</v>
      </c>
      <c r="H333" s="3" t="s">
        <v>13</v>
      </c>
      <c r="J333" s="4">
        <v>45967</v>
      </c>
      <c r="K333" s="3">
        <v>0</v>
      </c>
      <c r="L333" s="18">
        <f t="shared" si="24"/>
        <v>3</v>
      </c>
      <c r="M333">
        <f t="shared" si="21"/>
        <v>1</v>
      </c>
      <c r="N333">
        <f t="shared" si="22"/>
        <v>3</v>
      </c>
      <c r="O333" t="str">
        <f t="shared" si="23"/>
        <v>Detractor</v>
      </c>
    </row>
    <row r="334" spans="1:15" ht="14.25" customHeight="1" x14ac:dyDescent="0.3">
      <c r="A334" s="3" t="s">
        <v>353</v>
      </c>
      <c r="B334" s="3" t="s">
        <v>1021</v>
      </c>
      <c r="C334" s="3" t="s">
        <v>24</v>
      </c>
      <c r="D334" s="13">
        <v>45960</v>
      </c>
      <c r="E334" s="13">
        <v>45965</v>
      </c>
      <c r="F334" s="13">
        <v>45969</v>
      </c>
      <c r="G334" s="13">
        <v>45976</v>
      </c>
      <c r="H334" s="3" t="s">
        <v>13</v>
      </c>
      <c r="J334" s="4">
        <v>45992</v>
      </c>
      <c r="K334" s="3">
        <v>2</v>
      </c>
      <c r="L334" s="18">
        <f t="shared" si="24"/>
        <v>5</v>
      </c>
      <c r="M334">
        <f t="shared" si="21"/>
        <v>4</v>
      </c>
      <c r="N334">
        <f t="shared" si="22"/>
        <v>7</v>
      </c>
      <c r="O334" t="str">
        <f t="shared" si="23"/>
        <v>Detractor</v>
      </c>
    </row>
    <row r="335" spans="1:15" ht="14.25" customHeight="1" x14ac:dyDescent="0.3">
      <c r="A335" s="3" t="s">
        <v>354</v>
      </c>
      <c r="B335" s="3" t="s">
        <v>1023</v>
      </c>
      <c r="C335" s="3" t="s">
        <v>12</v>
      </c>
      <c r="D335" s="13">
        <v>45939</v>
      </c>
      <c r="E335" s="13">
        <v>45940</v>
      </c>
      <c r="F335" s="13">
        <v>45943</v>
      </c>
      <c r="G335" s="13">
        <v>45946</v>
      </c>
      <c r="H335" s="3" t="s">
        <v>13</v>
      </c>
      <c r="J335" s="4">
        <v>45962</v>
      </c>
      <c r="K335" s="3">
        <v>2</v>
      </c>
      <c r="L335" s="18">
        <f t="shared" si="24"/>
        <v>1</v>
      </c>
      <c r="M335">
        <f t="shared" si="21"/>
        <v>3</v>
      </c>
      <c r="N335">
        <f t="shared" si="22"/>
        <v>3</v>
      </c>
      <c r="O335" t="str">
        <f t="shared" si="23"/>
        <v>Detractor</v>
      </c>
    </row>
    <row r="336" spans="1:15" ht="14.25" customHeight="1" x14ac:dyDescent="0.3">
      <c r="A336" s="3" t="s">
        <v>355</v>
      </c>
      <c r="B336" s="3" t="s">
        <v>1023</v>
      </c>
      <c r="C336" s="3" t="s">
        <v>24</v>
      </c>
      <c r="D336" s="13">
        <v>45936</v>
      </c>
      <c r="E336" s="13">
        <v>45939</v>
      </c>
      <c r="F336" s="13">
        <v>45940</v>
      </c>
      <c r="G336" s="13">
        <v>45947</v>
      </c>
      <c r="H336" s="3" t="s">
        <v>13</v>
      </c>
      <c r="J336" s="4">
        <v>45961</v>
      </c>
      <c r="K336" s="3">
        <v>1</v>
      </c>
      <c r="L336" s="18">
        <f t="shared" si="24"/>
        <v>3</v>
      </c>
      <c r="M336">
        <f t="shared" si="21"/>
        <v>1</v>
      </c>
      <c r="N336">
        <f t="shared" si="22"/>
        <v>7</v>
      </c>
      <c r="O336" t="str">
        <f t="shared" si="23"/>
        <v>Detractor</v>
      </c>
    </row>
    <row r="337" spans="1:15" ht="14.25" customHeight="1" x14ac:dyDescent="0.3">
      <c r="A337" s="3" t="s">
        <v>356</v>
      </c>
      <c r="B337" s="3" t="s">
        <v>1023</v>
      </c>
      <c r="C337" s="3" t="s">
        <v>16</v>
      </c>
      <c r="D337" s="13">
        <v>45949</v>
      </c>
      <c r="H337" s="3" t="s">
        <v>17</v>
      </c>
      <c r="I337" s="3" t="s">
        <v>94</v>
      </c>
      <c r="M337">
        <f t="shared" si="21"/>
        <v>0</v>
      </c>
      <c r="N337">
        <f t="shared" si="22"/>
        <v>0</v>
      </c>
      <c r="O337" t="str">
        <f t="shared" si="23"/>
        <v>Detractor</v>
      </c>
    </row>
    <row r="338" spans="1:15" ht="14.25" customHeight="1" x14ac:dyDescent="0.3">
      <c r="A338" s="3" t="s">
        <v>357</v>
      </c>
      <c r="B338" s="3" t="s">
        <v>1023</v>
      </c>
      <c r="C338" s="3" t="s">
        <v>24</v>
      </c>
      <c r="D338" s="13">
        <v>45944</v>
      </c>
      <c r="E338" s="13">
        <v>45945</v>
      </c>
      <c r="F338" s="13">
        <v>45947</v>
      </c>
      <c r="G338" s="13">
        <v>45951</v>
      </c>
      <c r="H338" s="3" t="s">
        <v>13</v>
      </c>
      <c r="J338" s="4">
        <v>45962</v>
      </c>
      <c r="K338" s="3">
        <v>7</v>
      </c>
      <c r="L338" s="18">
        <f t="shared" si="24"/>
        <v>1</v>
      </c>
      <c r="M338">
        <f t="shared" si="21"/>
        <v>2</v>
      </c>
      <c r="N338">
        <f t="shared" si="22"/>
        <v>4</v>
      </c>
      <c r="O338" t="str">
        <f t="shared" si="23"/>
        <v>Passive</v>
      </c>
    </row>
    <row r="339" spans="1:15" ht="14.25" customHeight="1" x14ac:dyDescent="0.3">
      <c r="A339" s="3" t="s">
        <v>358</v>
      </c>
      <c r="B339" s="3" t="s">
        <v>1024</v>
      </c>
      <c r="C339" s="3" t="s">
        <v>16</v>
      </c>
      <c r="D339" s="13">
        <v>45951</v>
      </c>
      <c r="H339" s="3" t="s">
        <v>17</v>
      </c>
      <c r="I339" s="3" t="s">
        <v>56</v>
      </c>
      <c r="M339">
        <f t="shared" si="21"/>
        <v>0</v>
      </c>
      <c r="N339">
        <f t="shared" si="22"/>
        <v>0</v>
      </c>
      <c r="O339" t="str">
        <f t="shared" si="23"/>
        <v>Detractor</v>
      </c>
    </row>
    <row r="340" spans="1:15" ht="14.25" customHeight="1" x14ac:dyDescent="0.3">
      <c r="A340" s="3" t="s">
        <v>359</v>
      </c>
      <c r="B340" s="3" t="s">
        <v>1021</v>
      </c>
      <c r="C340" s="3" t="s">
        <v>12</v>
      </c>
      <c r="D340" s="13">
        <v>45957</v>
      </c>
      <c r="E340" s="13">
        <v>45960</v>
      </c>
      <c r="F340" s="13">
        <v>45965</v>
      </c>
      <c r="G340" s="13">
        <v>45968</v>
      </c>
      <c r="H340" s="3" t="s">
        <v>13</v>
      </c>
      <c r="J340" s="4">
        <v>45991</v>
      </c>
      <c r="K340" s="3">
        <v>3</v>
      </c>
      <c r="L340" s="18">
        <f t="shared" si="24"/>
        <v>3</v>
      </c>
      <c r="M340">
        <f t="shared" si="21"/>
        <v>5</v>
      </c>
      <c r="N340">
        <f t="shared" si="22"/>
        <v>3</v>
      </c>
      <c r="O340" t="str">
        <f t="shared" si="23"/>
        <v>Detractor</v>
      </c>
    </row>
    <row r="341" spans="1:15" ht="14.25" customHeight="1" x14ac:dyDescent="0.3">
      <c r="A341" s="3" t="s">
        <v>360</v>
      </c>
      <c r="B341" s="3" t="s">
        <v>1024</v>
      </c>
      <c r="C341" s="3" t="s">
        <v>16</v>
      </c>
      <c r="D341" s="13">
        <v>45946</v>
      </c>
      <c r="H341" s="3" t="s">
        <v>17</v>
      </c>
      <c r="I341" s="3" t="s">
        <v>56</v>
      </c>
      <c r="M341">
        <f t="shared" si="21"/>
        <v>0</v>
      </c>
      <c r="N341">
        <f t="shared" si="22"/>
        <v>0</v>
      </c>
      <c r="O341" t="str">
        <f t="shared" si="23"/>
        <v>Detractor</v>
      </c>
    </row>
    <row r="342" spans="1:15" ht="14.25" customHeight="1" x14ac:dyDescent="0.3">
      <c r="A342" s="3" t="s">
        <v>361</v>
      </c>
      <c r="B342" s="3" t="s">
        <v>1024</v>
      </c>
      <c r="C342" s="3" t="s">
        <v>12</v>
      </c>
      <c r="D342" s="13">
        <v>45933</v>
      </c>
      <c r="E342" s="13">
        <v>45934</v>
      </c>
      <c r="F342" s="13">
        <v>45935</v>
      </c>
      <c r="G342" s="13">
        <v>45939</v>
      </c>
      <c r="H342" s="3" t="s">
        <v>13</v>
      </c>
      <c r="J342" s="4">
        <v>45951</v>
      </c>
      <c r="K342" s="3">
        <v>10</v>
      </c>
      <c r="L342" s="18">
        <f t="shared" si="24"/>
        <v>1</v>
      </c>
      <c r="M342">
        <f t="shared" si="21"/>
        <v>1</v>
      </c>
      <c r="N342">
        <f t="shared" si="22"/>
        <v>4</v>
      </c>
      <c r="O342" t="str">
        <f t="shared" si="23"/>
        <v>Promoter</v>
      </c>
    </row>
    <row r="343" spans="1:15" ht="14.25" customHeight="1" x14ac:dyDescent="0.3">
      <c r="A343" s="3" t="s">
        <v>362</v>
      </c>
      <c r="B343" s="3" t="s">
        <v>1023</v>
      </c>
      <c r="C343" s="3" t="s">
        <v>12</v>
      </c>
      <c r="D343" s="13">
        <v>45946</v>
      </c>
      <c r="E343" s="13">
        <v>45951</v>
      </c>
      <c r="F343" s="13">
        <v>45952</v>
      </c>
      <c r="G343" s="13">
        <v>45954</v>
      </c>
      <c r="H343" s="3" t="s">
        <v>13</v>
      </c>
      <c r="J343" s="4">
        <v>45977</v>
      </c>
      <c r="K343" s="3">
        <v>1</v>
      </c>
      <c r="L343" s="18">
        <f t="shared" si="24"/>
        <v>5</v>
      </c>
      <c r="M343">
        <f t="shared" si="21"/>
        <v>1</v>
      </c>
      <c r="N343">
        <f t="shared" si="22"/>
        <v>2</v>
      </c>
      <c r="O343" t="str">
        <f t="shared" si="23"/>
        <v>Detractor</v>
      </c>
    </row>
    <row r="344" spans="1:15" ht="14.25" customHeight="1" x14ac:dyDescent="0.3">
      <c r="A344" s="3" t="s">
        <v>363</v>
      </c>
      <c r="B344" s="3" t="s">
        <v>1022</v>
      </c>
      <c r="C344" s="3" t="s">
        <v>12</v>
      </c>
      <c r="D344" s="13">
        <v>45942</v>
      </c>
      <c r="E344" s="13">
        <v>45946</v>
      </c>
      <c r="F344" s="13">
        <v>45950</v>
      </c>
      <c r="G344" s="13">
        <v>45957</v>
      </c>
      <c r="H344" s="3" t="s">
        <v>13</v>
      </c>
      <c r="J344" s="4">
        <v>45973</v>
      </c>
      <c r="K344" s="3">
        <v>4</v>
      </c>
      <c r="L344" s="18">
        <f t="shared" si="24"/>
        <v>4</v>
      </c>
      <c r="M344">
        <f t="shared" si="21"/>
        <v>4</v>
      </c>
      <c r="N344">
        <f t="shared" si="22"/>
        <v>7</v>
      </c>
      <c r="O344" t="str">
        <f t="shared" si="23"/>
        <v>Detractor</v>
      </c>
    </row>
    <row r="345" spans="1:15" ht="14.25" customHeight="1" x14ac:dyDescent="0.3">
      <c r="A345" s="3" t="s">
        <v>364</v>
      </c>
      <c r="B345" s="3" t="s">
        <v>1022</v>
      </c>
      <c r="C345" s="3" t="s">
        <v>12</v>
      </c>
      <c r="D345" s="13">
        <v>45944</v>
      </c>
      <c r="E345" s="13">
        <v>45947</v>
      </c>
      <c r="F345" s="13">
        <v>45950</v>
      </c>
      <c r="G345" s="13">
        <v>45954</v>
      </c>
      <c r="H345" s="3" t="s">
        <v>13</v>
      </c>
      <c r="J345" s="4">
        <v>45984</v>
      </c>
      <c r="K345" s="3">
        <v>8</v>
      </c>
      <c r="L345" s="18">
        <f t="shared" si="24"/>
        <v>3</v>
      </c>
      <c r="M345">
        <f t="shared" si="21"/>
        <v>3</v>
      </c>
      <c r="N345">
        <f t="shared" si="22"/>
        <v>4</v>
      </c>
      <c r="O345" t="str">
        <f t="shared" si="23"/>
        <v>Passive</v>
      </c>
    </row>
    <row r="346" spans="1:15" ht="14.25" customHeight="1" x14ac:dyDescent="0.3">
      <c r="A346" s="3" t="s">
        <v>365</v>
      </c>
      <c r="B346" s="3" t="s">
        <v>1024</v>
      </c>
      <c r="C346" s="3" t="s">
        <v>12</v>
      </c>
      <c r="D346" s="13">
        <v>45941</v>
      </c>
      <c r="E346" s="13">
        <v>45944</v>
      </c>
      <c r="F346" s="13">
        <v>45945</v>
      </c>
      <c r="G346" s="13">
        <v>45949</v>
      </c>
      <c r="H346" s="3" t="s">
        <v>13</v>
      </c>
      <c r="J346" s="4">
        <v>45963</v>
      </c>
      <c r="K346" s="3">
        <v>3</v>
      </c>
      <c r="L346" s="18">
        <f t="shared" si="24"/>
        <v>3</v>
      </c>
      <c r="M346">
        <f t="shared" si="21"/>
        <v>1</v>
      </c>
      <c r="N346">
        <f t="shared" si="22"/>
        <v>4</v>
      </c>
      <c r="O346" t="str">
        <f t="shared" si="23"/>
        <v>Detractor</v>
      </c>
    </row>
    <row r="347" spans="1:15" ht="14.25" customHeight="1" x14ac:dyDescent="0.3">
      <c r="A347" s="3" t="s">
        <v>366</v>
      </c>
      <c r="B347" s="3" t="s">
        <v>1024</v>
      </c>
      <c r="C347" s="3" t="s">
        <v>12</v>
      </c>
      <c r="D347" s="13">
        <v>45941</v>
      </c>
      <c r="E347" s="13">
        <v>45946</v>
      </c>
      <c r="F347" s="13">
        <v>45951</v>
      </c>
      <c r="G347" s="13">
        <v>45953</v>
      </c>
      <c r="H347" s="3" t="s">
        <v>13</v>
      </c>
      <c r="J347" s="4">
        <v>45982</v>
      </c>
      <c r="K347" s="3">
        <v>6</v>
      </c>
      <c r="L347" s="18">
        <f t="shared" si="24"/>
        <v>5</v>
      </c>
      <c r="M347">
        <f t="shared" si="21"/>
        <v>5</v>
      </c>
      <c r="N347">
        <f t="shared" si="22"/>
        <v>2</v>
      </c>
      <c r="O347" t="str">
        <f t="shared" si="23"/>
        <v>Detractor</v>
      </c>
    </row>
    <row r="348" spans="1:15" ht="14.25" customHeight="1" x14ac:dyDescent="0.3">
      <c r="A348" s="3" t="s">
        <v>367</v>
      </c>
      <c r="B348" s="3" t="s">
        <v>1023</v>
      </c>
      <c r="C348" s="3" t="s">
        <v>12</v>
      </c>
      <c r="D348" s="13">
        <v>45952</v>
      </c>
      <c r="E348" s="13">
        <v>45954</v>
      </c>
      <c r="F348" s="13">
        <v>45955</v>
      </c>
      <c r="G348" s="13">
        <v>45959</v>
      </c>
      <c r="H348" s="3" t="s">
        <v>13</v>
      </c>
      <c r="J348" s="4">
        <v>45977</v>
      </c>
      <c r="K348" s="3">
        <v>4</v>
      </c>
      <c r="L348" s="18">
        <f t="shared" si="24"/>
        <v>2</v>
      </c>
      <c r="M348">
        <f t="shared" si="21"/>
        <v>1</v>
      </c>
      <c r="N348">
        <f t="shared" si="22"/>
        <v>4</v>
      </c>
      <c r="O348" t="str">
        <f t="shared" si="23"/>
        <v>Detractor</v>
      </c>
    </row>
    <row r="349" spans="1:15" ht="14.25" customHeight="1" x14ac:dyDescent="0.3">
      <c r="A349" s="3" t="s">
        <v>368</v>
      </c>
      <c r="B349" s="3" t="s">
        <v>1024</v>
      </c>
      <c r="C349" s="3" t="s">
        <v>24</v>
      </c>
      <c r="D349" s="13">
        <v>45934</v>
      </c>
      <c r="E349" s="13">
        <v>45937</v>
      </c>
      <c r="F349" s="13">
        <v>45938</v>
      </c>
      <c r="G349" s="13">
        <v>45945</v>
      </c>
      <c r="H349" s="3" t="s">
        <v>13</v>
      </c>
      <c r="J349" s="4">
        <v>45965</v>
      </c>
      <c r="K349" s="3">
        <v>8</v>
      </c>
      <c r="L349" s="18">
        <f t="shared" si="24"/>
        <v>3</v>
      </c>
      <c r="M349">
        <f t="shared" si="21"/>
        <v>1</v>
      </c>
      <c r="N349">
        <f t="shared" si="22"/>
        <v>7</v>
      </c>
      <c r="O349" t="str">
        <f t="shared" si="23"/>
        <v>Passive</v>
      </c>
    </row>
    <row r="350" spans="1:15" ht="14.25" customHeight="1" x14ac:dyDescent="0.3">
      <c r="A350" s="3" t="s">
        <v>369</v>
      </c>
      <c r="B350" s="3" t="s">
        <v>1023</v>
      </c>
      <c r="C350" s="3" t="s">
        <v>12</v>
      </c>
      <c r="D350" s="13">
        <v>45958</v>
      </c>
      <c r="E350" s="13">
        <v>45959</v>
      </c>
      <c r="F350" s="13">
        <v>45963</v>
      </c>
      <c r="G350" s="13">
        <v>45970</v>
      </c>
      <c r="H350" s="3" t="s">
        <v>13</v>
      </c>
      <c r="J350" s="4">
        <v>45982</v>
      </c>
      <c r="K350" s="3">
        <v>4</v>
      </c>
      <c r="L350" s="18">
        <f t="shared" si="24"/>
        <v>1</v>
      </c>
      <c r="M350">
        <f t="shared" si="21"/>
        <v>4</v>
      </c>
      <c r="N350">
        <f t="shared" si="22"/>
        <v>7</v>
      </c>
      <c r="O350" t="str">
        <f t="shared" si="23"/>
        <v>Detractor</v>
      </c>
    </row>
    <row r="351" spans="1:15" ht="14.25" customHeight="1" x14ac:dyDescent="0.3">
      <c r="A351" s="3" t="s">
        <v>370</v>
      </c>
      <c r="B351" s="3" t="s">
        <v>1022</v>
      </c>
      <c r="C351" s="3" t="s">
        <v>12</v>
      </c>
      <c r="D351" s="13">
        <v>45936</v>
      </c>
      <c r="E351" s="13">
        <v>45941</v>
      </c>
      <c r="F351" s="13">
        <v>45942</v>
      </c>
      <c r="G351" s="13">
        <v>45945</v>
      </c>
      <c r="H351" s="3" t="s">
        <v>13</v>
      </c>
      <c r="J351" s="4">
        <v>45957</v>
      </c>
      <c r="K351" s="3">
        <v>6</v>
      </c>
      <c r="L351" s="18">
        <f t="shared" si="24"/>
        <v>5</v>
      </c>
      <c r="M351">
        <f t="shared" si="21"/>
        <v>1</v>
      </c>
      <c r="N351">
        <f t="shared" si="22"/>
        <v>3</v>
      </c>
      <c r="O351" t="str">
        <f t="shared" si="23"/>
        <v>Detractor</v>
      </c>
    </row>
    <row r="352" spans="1:15" ht="14.25" customHeight="1" x14ac:dyDescent="0.3">
      <c r="A352" s="3" t="s">
        <v>371</v>
      </c>
      <c r="B352" s="3" t="s">
        <v>1022</v>
      </c>
      <c r="C352" s="3" t="s">
        <v>12</v>
      </c>
      <c r="D352" s="13">
        <v>45941</v>
      </c>
      <c r="E352" s="13">
        <v>45943</v>
      </c>
      <c r="F352" s="13">
        <v>45946</v>
      </c>
      <c r="G352" s="13">
        <v>45948</v>
      </c>
      <c r="H352" s="3" t="s">
        <v>17</v>
      </c>
      <c r="I352" s="3" t="s">
        <v>18</v>
      </c>
      <c r="L352" s="18">
        <f t="shared" si="24"/>
        <v>2</v>
      </c>
      <c r="M352">
        <f t="shared" si="21"/>
        <v>3</v>
      </c>
      <c r="N352">
        <f t="shared" si="22"/>
        <v>2</v>
      </c>
      <c r="O352" t="str">
        <f t="shared" si="23"/>
        <v>Detractor</v>
      </c>
    </row>
    <row r="353" spans="1:15" ht="14.25" customHeight="1" x14ac:dyDescent="0.3">
      <c r="A353" s="3" t="s">
        <v>372</v>
      </c>
      <c r="B353" s="3" t="s">
        <v>1021</v>
      </c>
      <c r="C353" s="3" t="s">
        <v>12</v>
      </c>
      <c r="D353" s="13">
        <v>45944</v>
      </c>
      <c r="E353" s="13">
        <v>45947</v>
      </c>
      <c r="F353" s="13">
        <v>45951</v>
      </c>
      <c r="G353" s="13">
        <v>45956</v>
      </c>
      <c r="H353" s="3" t="s">
        <v>17</v>
      </c>
      <c r="I353" s="3" t="s">
        <v>26</v>
      </c>
      <c r="L353" s="18">
        <f t="shared" si="24"/>
        <v>3</v>
      </c>
      <c r="M353">
        <f t="shared" si="21"/>
        <v>4</v>
      </c>
      <c r="N353">
        <f t="shared" si="22"/>
        <v>5</v>
      </c>
      <c r="O353" t="str">
        <f t="shared" si="23"/>
        <v>Detractor</v>
      </c>
    </row>
    <row r="354" spans="1:15" ht="14.25" customHeight="1" x14ac:dyDescent="0.3">
      <c r="A354" s="3" t="s">
        <v>373</v>
      </c>
      <c r="B354" s="3" t="s">
        <v>1022</v>
      </c>
      <c r="C354" s="3" t="s">
        <v>12</v>
      </c>
      <c r="D354" s="13">
        <v>45953</v>
      </c>
      <c r="E354" s="13">
        <v>45956</v>
      </c>
      <c r="F354" s="13">
        <v>45958</v>
      </c>
      <c r="G354" s="13">
        <v>45965</v>
      </c>
      <c r="H354" s="3" t="s">
        <v>13</v>
      </c>
      <c r="J354" s="4">
        <v>45987</v>
      </c>
      <c r="K354" s="3">
        <v>5</v>
      </c>
      <c r="L354" s="18">
        <f t="shared" si="24"/>
        <v>3</v>
      </c>
      <c r="M354">
        <f t="shared" si="21"/>
        <v>2</v>
      </c>
      <c r="N354">
        <f t="shared" si="22"/>
        <v>7</v>
      </c>
      <c r="O354" t="str">
        <f t="shared" si="23"/>
        <v>Detractor</v>
      </c>
    </row>
    <row r="355" spans="1:15" ht="14.25" customHeight="1" x14ac:dyDescent="0.3">
      <c r="A355" s="3" t="s">
        <v>374</v>
      </c>
      <c r="B355" s="3" t="s">
        <v>1024</v>
      </c>
      <c r="C355" s="3" t="s">
        <v>16</v>
      </c>
      <c r="D355" s="13">
        <v>45946</v>
      </c>
      <c r="H355" s="3" t="s">
        <v>17</v>
      </c>
      <c r="I355" s="3" t="s">
        <v>20</v>
      </c>
      <c r="M355">
        <f t="shared" si="21"/>
        <v>0</v>
      </c>
      <c r="N355">
        <f t="shared" si="22"/>
        <v>0</v>
      </c>
      <c r="O355" t="str">
        <f t="shared" si="23"/>
        <v>Detractor</v>
      </c>
    </row>
    <row r="356" spans="1:15" ht="14.25" customHeight="1" x14ac:dyDescent="0.3">
      <c r="A356" s="3" t="s">
        <v>375</v>
      </c>
      <c r="B356" s="3" t="s">
        <v>1022</v>
      </c>
      <c r="C356" s="3" t="s">
        <v>24</v>
      </c>
      <c r="D356" s="13">
        <v>45940</v>
      </c>
      <c r="E356" s="13">
        <v>45944</v>
      </c>
      <c r="F356" s="13">
        <v>45946</v>
      </c>
      <c r="G356" s="13">
        <v>45950</v>
      </c>
      <c r="H356" s="3" t="s">
        <v>13</v>
      </c>
      <c r="J356" s="4">
        <v>45977</v>
      </c>
      <c r="K356" s="3">
        <v>2</v>
      </c>
      <c r="L356" s="18">
        <f t="shared" si="24"/>
        <v>4</v>
      </c>
      <c r="M356">
        <f t="shared" si="21"/>
        <v>2</v>
      </c>
      <c r="N356">
        <f t="shared" si="22"/>
        <v>4</v>
      </c>
      <c r="O356" t="str">
        <f t="shared" si="23"/>
        <v>Detractor</v>
      </c>
    </row>
    <row r="357" spans="1:15" ht="14.25" customHeight="1" x14ac:dyDescent="0.3">
      <c r="A357" s="3" t="s">
        <v>376</v>
      </c>
      <c r="B357" s="3" t="s">
        <v>1023</v>
      </c>
      <c r="C357" s="3" t="s">
        <v>12</v>
      </c>
      <c r="D357" s="13">
        <v>45952</v>
      </c>
      <c r="E357" s="13">
        <v>45954</v>
      </c>
      <c r="F357" s="13">
        <v>45958</v>
      </c>
      <c r="G357" s="13">
        <v>45965</v>
      </c>
      <c r="H357" s="3" t="s">
        <v>13</v>
      </c>
      <c r="J357" s="4">
        <v>45987</v>
      </c>
      <c r="K357" s="3">
        <v>3</v>
      </c>
      <c r="L357" s="18">
        <f t="shared" si="24"/>
        <v>2</v>
      </c>
      <c r="M357">
        <f t="shared" si="21"/>
        <v>4</v>
      </c>
      <c r="N357">
        <f t="shared" si="22"/>
        <v>7</v>
      </c>
      <c r="O357" t="str">
        <f t="shared" si="23"/>
        <v>Detractor</v>
      </c>
    </row>
    <row r="358" spans="1:15" ht="14.25" customHeight="1" x14ac:dyDescent="0.3">
      <c r="A358" s="3" t="s">
        <v>377</v>
      </c>
      <c r="B358" s="3" t="s">
        <v>1022</v>
      </c>
      <c r="C358" s="3" t="s">
        <v>12</v>
      </c>
      <c r="D358" s="13">
        <v>45961</v>
      </c>
      <c r="E358" s="13">
        <v>45966</v>
      </c>
      <c r="F358" s="13">
        <v>45969</v>
      </c>
      <c r="G358" s="13">
        <v>45976</v>
      </c>
      <c r="H358" s="3" t="s">
        <v>13</v>
      </c>
      <c r="J358" s="4">
        <v>46003</v>
      </c>
      <c r="K358" s="3">
        <v>10</v>
      </c>
      <c r="L358" s="18">
        <f t="shared" si="24"/>
        <v>5</v>
      </c>
      <c r="M358">
        <f t="shared" si="21"/>
        <v>3</v>
      </c>
      <c r="N358">
        <f t="shared" si="22"/>
        <v>7</v>
      </c>
      <c r="O358" t="str">
        <f t="shared" si="23"/>
        <v>Promoter</v>
      </c>
    </row>
    <row r="359" spans="1:15" ht="14.25" customHeight="1" x14ac:dyDescent="0.3">
      <c r="A359" s="3" t="s">
        <v>378</v>
      </c>
      <c r="B359" s="3" t="s">
        <v>1021</v>
      </c>
      <c r="C359" s="3" t="s">
        <v>12</v>
      </c>
      <c r="D359" s="13">
        <v>45943</v>
      </c>
      <c r="E359" s="13">
        <v>45944</v>
      </c>
      <c r="F359" s="13">
        <v>45948</v>
      </c>
      <c r="G359" s="13">
        <v>45951</v>
      </c>
      <c r="H359" s="3" t="s">
        <v>13</v>
      </c>
      <c r="J359" s="4">
        <v>45971</v>
      </c>
      <c r="K359" s="3">
        <v>3</v>
      </c>
      <c r="L359" s="18">
        <f t="shared" si="24"/>
        <v>1</v>
      </c>
      <c r="M359">
        <f t="shared" si="21"/>
        <v>4</v>
      </c>
      <c r="N359">
        <f t="shared" si="22"/>
        <v>3</v>
      </c>
      <c r="O359" t="str">
        <f t="shared" si="23"/>
        <v>Detractor</v>
      </c>
    </row>
    <row r="360" spans="1:15" ht="14.25" customHeight="1" x14ac:dyDescent="0.3">
      <c r="A360" s="3" t="s">
        <v>379</v>
      </c>
      <c r="B360" s="3" t="s">
        <v>1022</v>
      </c>
      <c r="C360" s="3" t="s">
        <v>16</v>
      </c>
      <c r="D360" s="13">
        <v>45957</v>
      </c>
      <c r="H360" s="3" t="s">
        <v>17</v>
      </c>
      <c r="I360" s="3" t="s">
        <v>18</v>
      </c>
      <c r="M360">
        <f t="shared" si="21"/>
        <v>0</v>
      </c>
      <c r="N360">
        <f t="shared" si="22"/>
        <v>0</v>
      </c>
      <c r="O360" t="str">
        <f t="shared" si="23"/>
        <v>Detractor</v>
      </c>
    </row>
    <row r="361" spans="1:15" ht="14.25" customHeight="1" x14ac:dyDescent="0.3">
      <c r="A361" s="3" t="s">
        <v>380</v>
      </c>
      <c r="B361" s="3" t="s">
        <v>1023</v>
      </c>
      <c r="C361" s="3" t="s">
        <v>24</v>
      </c>
      <c r="D361" s="13">
        <v>45955</v>
      </c>
      <c r="E361" s="13">
        <v>45958</v>
      </c>
      <c r="F361" s="13">
        <v>45962</v>
      </c>
      <c r="G361" s="13">
        <v>45967</v>
      </c>
      <c r="H361" s="3" t="s">
        <v>13</v>
      </c>
      <c r="J361" s="4">
        <v>45985</v>
      </c>
      <c r="K361" s="3">
        <v>5</v>
      </c>
      <c r="L361" s="18">
        <f t="shared" si="24"/>
        <v>3</v>
      </c>
      <c r="M361">
        <f t="shared" si="21"/>
        <v>4</v>
      </c>
      <c r="N361">
        <f t="shared" si="22"/>
        <v>5</v>
      </c>
      <c r="O361" t="str">
        <f t="shared" si="23"/>
        <v>Detractor</v>
      </c>
    </row>
    <row r="362" spans="1:15" ht="14.25" customHeight="1" x14ac:dyDescent="0.3">
      <c r="A362" s="3" t="s">
        <v>381</v>
      </c>
      <c r="B362" s="3" t="s">
        <v>1023</v>
      </c>
      <c r="C362" s="3" t="s">
        <v>12</v>
      </c>
      <c r="D362" s="13">
        <v>45948</v>
      </c>
      <c r="E362" s="13">
        <v>45953</v>
      </c>
      <c r="F362" s="13">
        <v>45957</v>
      </c>
      <c r="G362" s="13">
        <v>45964</v>
      </c>
      <c r="H362" s="3" t="s">
        <v>13</v>
      </c>
      <c r="J362" s="4">
        <v>45990</v>
      </c>
      <c r="K362" s="3">
        <v>8</v>
      </c>
      <c r="L362" s="18">
        <f t="shared" si="24"/>
        <v>5</v>
      </c>
      <c r="M362">
        <f t="shared" si="21"/>
        <v>4</v>
      </c>
      <c r="N362">
        <f t="shared" si="22"/>
        <v>7</v>
      </c>
      <c r="O362" t="str">
        <f t="shared" si="23"/>
        <v>Passive</v>
      </c>
    </row>
    <row r="363" spans="1:15" ht="14.25" customHeight="1" x14ac:dyDescent="0.3">
      <c r="A363" s="3" t="s">
        <v>382</v>
      </c>
      <c r="B363" s="3" t="s">
        <v>1024</v>
      </c>
      <c r="C363" s="3" t="s">
        <v>12</v>
      </c>
      <c r="D363" s="13">
        <v>45932</v>
      </c>
      <c r="E363" s="13">
        <v>45936</v>
      </c>
      <c r="F363" s="13">
        <v>45940</v>
      </c>
      <c r="G363" s="13">
        <v>45942</v>
      </c>
      <c r="H363" s="3" t="s">
        <v>13</v>
      </c>
      <c r="J363" s="4">
        <v>45966</v>
      </c>
      <c r="K363" s="3">
        <v>0</v>
      </c>
      <c r="L363" s="18">
        <f t="shared" si="24"/>
        <v>4</v>
      </c>
      <c r="M363">
        <f t="shared" si="21"/>
        <v>4</v>
      </c>
      <c r="N363">
        <f t="shared" si="22"/>
        <v>2</v>
      </c>
      <c r="O363" t="str">
        <f t="shared" si="23"/>
        <v>Detractor</v>
      </c>
    </row>
    <row r="364" spans="1:15" ht="14.25" customHeight="1" x14ac:dyDescent="0.3">
      <c r="A364" s="3" t="s">
        <v>383</v>
      </c>
      <c r="B364" s="3" t="s">
        <v>1022</v>
      </c>
      <c r="C364" s="3" t="s">
        <v>12</v>
      </c>
      <c r="D364" s="13">
        <v>45945</v>
      </c>
      <c r="E364" s="13">
        <v>45948</v>
      </c>
      <c r="F364" s="13">
        <v>45949</v>
      </c>
      <c r="G364" s="13">
        <v>45956</v>
      </c>
      <c r="H364" s="3" t="s">
        <v>13</v>
      </c>
      <c r="J364" s="4">
        <v>45966</v>
      </c>
      <c r="K364" s="3">
        <v>1</v>
      </c>
      <c r="L364" s="18">
        <f t="shared" si="24"/>
        <v>3</v>
      </c>
      <c r="M364">
        <f t="shared" si="21"/>
        <v>1</v>
      </c>
      <c r="N364">
        <f t="shared" si="22"/>
        <v>7</v>
      </c>
      <c r="O364" t="str">
        <f t="shared" si="23"/>
        <v>Detractor</v>
      </c>
    </row>
    <row r="365" spans="1:15" ht="14.25" customHeight="1" x14ac:dyDescent="0.3">
      <c r="A365" s="3" t="s">
        <v>384</v>
      </c>
      <c r="B365" s="3" t="s">
        <v>1023</v>
      </c>
      <c r="C365" s="3" t="s">
        <v>12</v>
      </c>
      <c r="D365" s="13">
        <v>45933</v>
      </c>
      <c r="E365" s="13">
        <v>45935</v>
      </c>
      <c r="F365" s="13">
        <v>45940</v>
      </c>
      <c r="G365" s="13">
        <v>45942</v>
      </c>
      <c r="H365" s="3" t="s">
        <v>13</v>
      </c>
      <c r="J365" s="4">
        <v>45971</v>
      </c>
      <c r="K365" s="3">
        <v>4</v>
      </c>
      <c r="L365" s="18">
        <f t="shared" si="24"/>
        <v>2</v>
      </c>
      <c r="M365">
        <f t="shared" si="21"/>
        <v>5</v>
      </c>
      <c r="N365">
        <f t="shared" si="22"/>
        <v>2</v>
      </c>
      <c r="O365" t="str">
        <f t="shared" si="23"/>
        <v>Detractor</v>
      </c>
    </row>
    <row r="366" spans="1:15" ht="14.25" customHeight="1" x14ac:dyDescent="0.3">
      <c r="A366" s="3" t="s">
        <v>385</v>
      </c>
      <c r="B366" s="3" t="s">
        <v>1021</v>
      </c>
      <c r="C366" s="3" t="s">
        <v>12</v>
      </c>
      <c r="D366" s="13">
        <v>45941</v>
      </c>
      <c r="E366" s="13">
        <v>45946</v>
      </c>
      <c r="F366" s="13">
        <v>45948</v>
      </c>
      <c r="G366" s="13">
        <v>45950</v>
      </c>
      <c r="H366" s="3" t="s">
        <v>13</v>
      </c>
      <c r="J366" s="4">
        <v>45978</v>
      </c>
      <c r="K366" s="3">
        <v>5</v>
      </c>
      <c r="L366" s="18">
        <f t="shared" si="24"/>
        <v>5</v>
      </c>
      <c r="M366">
        <f t="shared" si="21"/>
        <v>2</v>
      </c>
      <c r="N366">
        <f t="shared" si="22"/>
        <v>2</v>
      </c>
      <c r="O366" t="str">
        <f t="shared" si="23"/>
        <v>Detractor</v>
      </c>
    </row>
    <row r="367" spans="1:15" ht="14.25" customHeight="1" x14ac:dyDescent="0.3">
      <c r="A367" s="3" t="s">
        <v>386</v>
      </c>
      <c r="B367" s="3" t="s">
        <v>1024</v>
      </c>
      <c r="C367" s="3" t="s">
        <v>12</v>
      </c>
      <c r="D367" s="13">
        <v>45939</v>
      </c>
      <c r="E367" s="13">
        <v>45940</v>
      </c>
      <c r="F367" s="13">
        <v>45943</v>
      </c>
      <c r="G367" s="13">
        <v>45946</v>
      </c>
      <c r="H367" s="3" t="s">
        <v>13</v>
      </c>
      <c r="J367" s="4">
        <v>45972</v>
      </c>
      <c r="K367" s="3">
        <v>10</v>
      </c>
      <c r="L367" s="18">
        <f t="shared" si="24"/>
        <v>1</v>
      </c>
      <c r="M367">
        <f t="shared" si="21"/>
        <v>3</v>
      </c>
      <c r="N367">
        <f t="shared" si="22"/>
        <v>3</v>
      </c>
      <c r="O367" t="str">
        <f t="shared" si="23"/>
        <v>Promoter</v>
      </c>
    </row>
    <row r="368" spans="1:15" ht="14.25" customHeight="1" x14ac:dyDescent="0.3">
      <c r="A368" s="3" t="s">
        <v>387</v>
      </c>
      <c r="B368" s="3" t="s">
        <v>1021</v>
      </c>
      <c r="C368" s="3" t="s">
        <v>12</v>
      </c>
      <c r="D368" s="13">
        <v>45941</v>
      </c>
      <c r="E368" s="13">
        <v>45945</v>
      </c>
      <c r="F368" s="13">
        <v>45946</v>
      </c>
      <c r="G368" s="13">
        <v>45951</v>
      </c>
      <c r="H368" s="3" t="s">
        <v>13</v>
      </c>
      <c r="J368" s="4">
        <v>45974</v>
      </c>
      <c r="K368" s="3">
        <v>3</v>
      </c>
      <c r="L368" s="18">
        <f t="shared" si="24"/>
        <v>4</v>
      </c>
      <c r="M368">
        <f t="shared" si="21"/>
        <v>1</v>
      </c>
      <c r="N368">
        <f t="shared" si="22"/>
        <v>5</v>
      </c>
      <c r="O368" t="str">
        <f t="shared" si="23"/>
        <v>Detractor</v>
      </c>
    </row>
    <row r="369" spans="1:15" ht="14.25" customHeight="1" x14ac:dyDescent="0.3">
      <c r="A369" s="3" t="s">
        <v>388</v>
      </c>
      <c r="B369" s="3" t="s">
        <v>1022</v>
      </c>
      <c r="C369" s="3" t="s">
        <v>24</v>
      </c>
      <c r="D369" s="13">
        <v>45934</v>
      </c>
      <c r="E369" s="13">
        <v>45939</v>
      </c>
      <c r="F369" s="13">
        <v>45941</v>
      </c>
      <c r="G369" s="13">
        <v>45943</v>
      </c>
      <c r="H369" s="3" t="s">
        <v>17</v>
      </c>
      <c r="I369" s="3" t="s">
        <v>20</v>
      </c>
      <c r="L369" s="18">
        <f t="shared" si="24"/>
        <v>5</v>
      </c>
      <c r="M369">
        <f t="shared" si="21"/>
        <v>2</v>
      </c>
      <c r="N369">
        <f t="shared" si="22"/>
        <v>2</v>
      </c>
      <c r="O369" t="str">
        <f t="shared" si="23"/>
        <v>Detractor</v>
      </c>
    </row>
    <row r="370" spans="1:15" ht="14.25" customHeight="1" x14ac:dyDescent="0.3">
      <c r="A370" s="3" t="s">
        <v>389</v>
      </c>
      <c r="B370" s="3" t="s">
        <v>1022</v>
      </c>
      <c r="C370" s="3" t="s">
        <v>12</v>
      </c>
      <c r="D370" s="13">
        <v>45955</v>
      </c>
      <c r="E370" s="13">
        <v>45958</v>
      </c>
      <c r="F370" s="13">
        <v>45963</v>
      </c>
      <c r="G370" s="13">
        <v>45966</v>
      </c>
      <c r="H370" s="3" t="s">
        <v>13</v>
      </c>
      <c r="J370" s="4">
        <v>45979</v>
      </c>
      <c r="K370" s="3">
        <v>10</v>
      </c>
      <c r="L370" s="18">
        <f t="shared" si="24"/>
        <v>3</v>
      </c>
      <c r="M370">
        <f t="shared" si="21"/>
        <v>5</v>
      </c>
      <c r="N370">
        <f t="shared" si="22"/>
        <v>3</v>
      </c>
      <c r="O370" t="str">
        <f t="shared" si="23"/>
        <v>Promoter</v>
      </c>
    </row>
    <row r="371" spans="1:15" ht="14.25" customHeight="1" x14ac:dyDescent="0.3">
      <c r="A371" s="3" t="s">
        <v>390</v>
      </c>
      <c r="B371" s="3" t="s">
        <v>1022</v>
      </c>
      <c r="C371" s="3" t="s">
        <v>24</v>
      </c>
      <c r="D371" s="13">
        <v>45943</v>
      </c>
      <c r="E371" s="13">
        <v>45944</v>
      </c>
      <c r="F371" s="13">
        <v>45948</v>
      </c>
      <c r="G371" s="13">
        <v>45954</v>
      </c>
      <c r="H371" s="3" t="s">
        <v>13</v>
      </c>
      <c r="J371" s="4">
        <v>45977</v>
      </c>
      <c r="K371" s="3">
        <v>4</v>
      </c>
      <c r="L371" s="18">
        <f t="shared" si="24"/>
        <v>1</v>
      </c>
      <c r="M371">
        <f t="shared" si="21"/>
        <v>4</v>
      </c>
      <c r="N371">
        <f t="shared" si="22"/>
        <v>6</v>
      </c>
      <c r="O371" t="str">
        <f t="shared" si="23"/>
        <v>Detractor</v>
      </c>
    </row>
    <row r="372" spans="1:15" ht="14.25" customHeight="1" x14ac:dyDescent="0.3">
      <c r="A372" s="3" t="s">
        <v>391</v>
      </c>
      <c r="B372" s="3" t="s">
        <v>1024</v>
      </c>
      <c r="C372" s="3" t="s">
        <v>12</v>
      </c>
      <c r="D372" s="13">
        <v>45958</v>
      </c>
      <c r="E372" s="13">
        <v>45961</v>
      </c>
      <c r="F372" s="13">
        <v>45966</v>
      </c>
      <c r="G372" s="13">
        <v>45969</v>
      </c>
      <c r="H372" s="3" t="s">
        <v>13</v>
      </c>
      <c r="J372" s="4">
        <v>45983</v>
      </c>
      <c r="K372" s="3">
        <v>7</v>
      </c>
      <c r="L372" s="18">
        <f t="shared" si="24"/>
        <v>3</v>
      </c>
      <c r="M372">
        <f t="shared" si="21"/>
        <v>5</v>
      </c>
      <c r="N372">
        <f t="shared" si="22"/>
        <v>3</v>
      </c>
      <c r="O372" t="str">
        <f t="shared" si="23"/>
        <v>Passive</v>
      </c>
    </row>
    <row r="373" spans="1:15" ht="14.25" customHeight="1" x14ac:dyDescent="0.3">
      <c r="A373" s="3" t="s">
        <v>392</v>
      </c>
      <c r="B373" s="3" t="s">
        <v>1023</v>
      </c>
      <c r="C373" s="3" t="s">
        <v>12</v>
      </c>
      <c r="D373" s="13">
        <v>45947</v>
      </c>
      <c r="E373" s="13">
        <v>45950</v>
      </c>
      <c r="F373" s="13">
        <v>45952</v>
      </c>
      <c r="G373" s="13">
        <v>45958</v>
      </c>
      <c r="H373" s="3" t="s">
        <v>13</v>
      </c>
      <c r="J373" s="4">
        <v>45972</v>
      </c>
      <c r="K373" s="3">
        <v>1</v>
      </c>
      <c r="L373" s="18">
        <f t="shared" si="24"/>
        <v>3</v>
      </c>
      <c r="M373">
        <f t="shared" si="21"/>
        <v>2</v>
      </c>
      <c r="N373">
        <f t="shared" si="22"/>
        <v>6</v>
      </c>
      <c r="O373" t="str">
        <f t="shared" si="23"/>
        <v>Detractor</v>
      </c>
    </row>
    <row r="374" spans="1:15" ht="14.25" customHeight="1" x14ac:dyDescent="0.3">
      <c r="A374" s="3" t="s">
        <v>393</v>
      </c>
      <c r="B374" s="3" t="s">
        <v>1024</v>
      </c>
      <c r="C374" s="3" t="s">
        <v>12</v>
      </c>
      <c r="D374" s="13">
        <v>45957</v>
      </c>
      <c r="E374" s="13">
        <v>45959</v>
      </c>
      <c r="F374" s="13">
        <v>45961</v>
      </c>
      <c r="G374" s="13">
        <v>45968</v>
      </c>
      <c r="H374" s="3" t="s">
        <v>13</v>
      </c>
      <c r="J374" s="4">
        <v>45996</v>
      </c>
      <c r="K374" s="3">
        <v>5</v>
      </c>
      <c r="L374" s="18">
        <f t="shared" si="24"/>
        <v>2</v>
      </c>
      <c r="M374">
        <f t="shared" si="21"/>
        <v>2</v>
      </c>
      <c r="N374">
        <f t="shared" si="22"/>
        <v>7</v>
      </c>
      <c r="O374" t="str">
        <f t="shared" si="23"/>
        <v>Detractor</v>
      </c>
    </row>
    <row r="375" spans="1:15" ht="14.25" customHeight="1" x14ac:dyDescent="0.3">
      <c r="A375" s="3" t="s">
        <v>394</v>
      </c>
      <c r="B375" s="3" t="s">
        <v>1021</v>
      </c>
      <c r="C375" s="3" t="s">
        <v>12</v>
      </c>
      <c r="D375" s="13">
        <v>45931</v>
      </c>
      <c r="E375" s="13">
        <v>45933</v>
      </c>
      <c r="F375" s="13">
        <v>45934</v>
      </c>
      <c r="G375" s="13">
        <v>45939</v>
      </c>
      <c r="H375" s="3" t="s">
        <v>13</v>
      </c>
      <c r="J375" s="4">
        <v>45967</v>
      </c>
      <c r="K375" s="3">
        <v>2</v>
      </c>
      <c r="L375" s="18">
        <f t="shared" si="24"/>
        <v>2</v>
      </c>
      <c r="M375">
        <f t="shared" si="21"/>
        <v>1</v>
      </c>
      <c r="N375">
        <f t="shared" si="22"/>
        <v>5</v>
      </c>
      <c r="O375" t="str">
        <f t="shared" si="23"/>
        <v>Detractor</v>
      </c>
    </row>
    <row r="376" spans="1:15" ht="14.25" customHeight="1" x14ac:dyDescent="0.3">
      <c r="A376" s="3" t="s">
        <v>395</v>
      </c>
      <c r="B376" s="3" t="s">
        <v>1024</v>
      </c>
      <c r="C376" s="3" t="s">
        <v>24</v>
      </c>
      <c r="D376" s="13">
        <v>45952</v>
      </c>
      <c r="E376" s="13">
        <v>45955</v>
      </c>
      <c r="F376" s="13">
        <v>45956</v>
      </c>
      <c r="G376" s="13">
        <v>45958</v>
      </c>
      <c r="H376" s="3" t="s">
        <v>13</v>
      </c>
      <c r="J376" s="4">
        <v>45986</v>
      </c>
      <c r="K376" s="3">
        <v>9</v>
      </c>
      <c r="L376" s="18">
        <f t="shared" si="24"/>
        <v>3</v>
      </c>
      <c r="M376">
        <f t="shared" si="21"/>
        <v>1</v>
      </c>
      <c r="N376">
        <f t="shared" si="22"/>
        <v>2</v>
      </c>
      <c r="O376" t="str">
        <f t="shared" si="23"/>
        <v>Promoter</v>
      </c>
    </row>
    <row r="377" spans="1:15" ht="14.25" customHeight="1" x14ac:dyDescent="0.3">
      <c r="A377" s="3" t="s">
        <v>396</v>
      </c>
      <c r="B377" s="3" t="s">
        <v>1021</v>
      </c>
      <c r="C377" s="3" t="s">
        <v>12</v>
      </c>
      <c r="D377" s="13">
        <v>45958</v>
      </c>
      <c r="E377" s="13">
        <v>45962</v>
      </c>
      <c r="F377" s="13">
        <v>45965</v>
      </c>
      <c r="G377" s="13">
        <v>45967</v>
      </c>
      <c r="H377" s="3" t="s">
        <v>17</v>
      </c>
      <c r="I377" s="3" t="s">
        <v>26</v>
      </c>
      <c r="L377" s="18">
        <f t="shared" si="24"/>
        <v>4</v>
      </c>
      <c r="M377">
        <f t="shared" si="21"/>
        <v>3</v>
      </c>
      <c r="N377">
        <f t="shared" si="22"/>
        <v>2</v>
      </c>
      <c r="O377" t="str">
        <f t="shared" si="23"/>
        <v>Detractor</v>
      </c>
    </row>
    <row r="378" spans="1:15" ht="14.25" customHeight="1" x14ac:dyDescent="0.3">
      <c r="A378" s="3" t="s">
        <v>397</v>
      </c>
      <c r="B378" s="3" t="s">
        <v>1024</v>
      </c>
      <c r="C378" s="3" t="s">
        <v>12</v>
      </c>
      <c r="D378" s="13">
        <v>45948</v>
      </c>
      <c r="E378" s="13">
        <v>45950</v>
      </c>
      <c r="F378" s="13">
        <v>45954</v>
      </c>
      <c r="G378" s="13">
        <v>45961</v>
      </c>
      <c r="H378" s="3" t="s">
        <v>13</v>
      </c>
      <c r="J378" s="4">
        <v>45974</v>
      </c>
      <c r="K378" s="3">
        <v>3</v>
      </c>
      <c r="L378" s="18">
        <f t="shared" si="24"/>
        <v>2</v>
      </c>
      <c r="M378">
        <f t="shared" si="21"/>
        <v>4</v>
      </c>
      <c r="N378">
        <f t="shared" si="22"/>
        <v>7</v>
      </c>
      <c r="O378" t="str">
        <f t="shared" si="23"/>
        <v>Detractor</v>
      </c>
    </row>
    <row r="379" spans="1:15" ht="14.25" customHeight="1" x14ac:dyDescent="0.3">
      <c r="A379" s="3" t="s">
        <v>398</v>
      </c>
      <c r="B379" s="3" t="s">
        <v>1023</v>
      </c>
      <c r="C379" s="3" t="s">
        <v>12</v>
      </c>
      <c r="D379" s="13">
        <v>45945</v>
      </c>
      <c r="E379" s="13">
        <v>45947</v>
      </c>
      <c r="F379" s="13">
        <v>45952</v>
      </c>
      <c r="G379" s="13">
        <v>45956</v>
      </c>
      <c r="H379" s="3" t="s">
        <v>13</v>
      </c>
      <c r="J379" s="4">
        <v>45969</v>
      </c>
      <c r="K379" s="3">
        <v>9</v>
      </c>
      <c r="L379" s="18">
        <f t="shared" si="24"/>
        <v>2</v>
      </c>
      <c r="M379">
        <f t="shared" si="21"/>
        <v>5</v>
      </c>
      <c r="N379">
        <f t="shared" si="22"/>
        <v>4</v>
      </c>
      <c r="O379" t="str">
        <f t="shared" si="23"/>
        <v>Promoter</v>
      </c>
    </row>
    <row r="380" spans="1:15" ht="14.25" customHeight="1" x14ac:dyDescent="0.3">
      <c r="A380" s="3" t="s">
        <v>399</v>
      </c>
      <c r="B380" s="3" t="s">
        <v>1021</v>
      </c>
      <c r="C380" s="3" t="s">
        <v>16</v>
      </c>
      <c r="D380" s="13">
        <v>45944</v>
      </c>
      <c r="H380" s="3" t="s">
        <v>17</v>
      </c>
      <c r="I380" s="3" t="s">
        <v>56</v>
      </c>
      <c r="M380">
        <f t="shared" si="21"/>
        <v>0</v>
      </c>
      <c r="N380">
        <f t="shared" si="22"/>
        <v>0</v>
      </c>
      <c r="O380" t="str">
        <f t="shared" si="23"/>
        <v>Detractor</v>
      </c>
    </row>
    <row r="381" spans="1:15" ht="14.25" customHeight="1" x14ac:dyDescent="0.3">
      <c r="A381" s="3" t="s">
        <v>400</v>
      </c>
      <c r="B381" s="3" t="s">
        <v>1022</v>
      </c>
      <c r="C381" s="3" t="s">
        <v>24</v>
      </c>
      <c r="D381" s="13">
        <v>45932</v>
      </c>
      <c r="E381" s="13">
        <v>45934</v>
      </c>
      <c r="F381" s="13">
        <v>45938</v>
      </c>
      <c r="G381" s="13">
        <v>45940</v>
      </c>
      <c r="H381" s="3" t="s">
        <v>13</v>
      </c>
      <c r="J381" s="4">
        <v>45968</v>
      </c>
      <c r="K381" s="3">
        <v>10</v>
      </c>
      <c r="L381" s="18">
        <f t="shared" si="24"/>
        <v>2</v>
      </c>
      <c r="M381">
        <f t="shared" si="21"/>
        <v>4</v>
      </c>
      <c r="N381">
        <f t="shared" si="22"/>
        <v>2</v>
      </c>
      <c r="O381" t="str">
        <f t="shared" si="23"/>
        <v>Promoter</v>
      </c>
    </row>
    <row r="382" spans="1:15" ht="14.25" customHeight="1" x14ac:dyDescent="0.3">
      <c r="A382" s="3" t="s">
        <v>401</v>
      </c>
      <c r="B382" s="3" t="s">
        <v>1022</v>
      </c>
      <c r="C382" s="3" t="s">
        <v>12</v>
      </c>
      <c r="D382" s="13">
        <v>45937</v>
      </c>
      <c r="E382" s="13">
        <v>45939</v>
      </c>
      <c r="F382" s="13">
        <v>45944</v>
      </c>
      <c r="G382" s="13">
        <v>45949</v>
      </c>
      <c r="H382" s="3" t="s">
        <v>13</v>
      </c>
      <c r="J382" s="4">
        <v>45962</v>
      </c>
      <c r="K382" s="3">
        <v>1</v>
      </c>
      <c r="L382" s="18">
        <f t="shared" si="24"/>
        <v>2</v>
      </c>
      <c r="M382">
        <f t="shared" si="21"/>
        <v>5</v>
      </c>
      <c r="N382">
        <f t="shared" si="22"/>
        <v>5</v>
      </c>
      <c r="O382" t="str">
        <f t="shared" si="23"/>
        <v>Detractor</v>
      </c>
    </row>
    <row r="383" spans="1:15" ht="14.25" customHeight="1" x14ac:dyDescent="0.3">
      <c r="A383" s="3" t="s">
        <v>402</v>
      </c>
      <c r="B383" s="3" t="s">
        <v>1024</v>
      </c>
      <c r="C383" s="3" t="s">
        <v>12</v>
      </c>
      <c r="D383" s="13">
        <v>45947</v>
      </c>
      <c r="E383" s="13">
        <v>45948</v>
      </c>
      <c r="F383" s="13">
        <v>45952</v>
      </c>
      <c r="G383" s="13">
        <v>45959</v>
      </c>
      <c r="H383" s="3" t="s">
        <v>13</v>
      </c>
      <c r="J383" s="4">
        <v>45978</v>
      </c>
      <c r="K383" s="3">
        <v>8</v>
      </c>
      <c r="L383" s="18">
        <f t="shared" si="24"/>
        <v>1</v>
      </c>
      <c r="M383">
        <f t="shared" si="21"/>
        <v>4</v>
      </c>
      <c r="N383">
        <f t="shared" si="22"/>
        <v>7</v>
      </c>
      <c r="O383" t="str">
        <f t="shared" si="23"/>
        <v>Passive</v>
      </c>
    </row>
    <row r="384" spans="1:15" ht="14.25" customHeight="1" x14ac:dyDescent="0.3">
      <c r="A384" s="3" t="s">
        <v>403</v>
      </c>
      <c r="B384" s="3" t="s">
        <v>1022</v>
      </c>
      <c r="C384" s="3" t="s">
        <v>12</v>
      </c>
      <c r="D384" s="13">
        <v>45942</v>
      </c>
      <c r="E384" s="13">
        <v>45945</v>
      </c>
      <c r="F384" s="13">
        <v>45947</v>
      </c>
      <c r="G384" s="13">
        <v>45950</v>
      </c>
      <c r="H384" s="3" t="s">
        <v>13</v>
      </c>
      <c r="J384" s="4">
        <v>45977</v>
      </c>
      <c r="K384" s="3">
        <v>4</v>
      </c>
      <c r="L384" s="18">
        <f t="shared" si="24"/>
        <v>3</v>
      </c>
      <c r="M384">
        <f t="shared" si="21"/>
        <v>2</v>
      </c>
      <c r="N384">
        <f t="shared" si="22"/>
        <v>3</v>
      </c>
      <c r="O384" t="str">
        <f t="shared" si="23"/>
        <v>Detractor</v>
      </c>
    </row>
    <row r="385" spans="1:15" ht="14.25" customHeight="1" x14ac:dyDescent="0.3">
      <c r="A385" s="3" t="s">
        <v>404</v>
      </c>
      <c r="B385" s="3" t="s">
        <v>1021</v>
      </c>
      <c r="C385" s="3" t="s">
        <v>24</v>
      </c>
      <c r="D385" s="13">
        <v>45950</v>
      </c>
      <c r="E385" s="13">
        <v>45951</v>
      </c>
      <c r="F385" s="13">
        <v>45953</v>
      </c>
      <c r="G385" s="13">
        <v>45958</v>
      </c>
      <c r="H385" s="3" t="s">
        <v>13</v>
      </c>
      <c r="J385" s="4">
        <v>45979</v>
      </c>
      <c r="K385" s="3">
        <v>9</v>
      </c>
      <c r="L385" s="18">
        <f t="shared" si="24"/>
        <v>1</v>
      </c>
      <c r="M385">
        <f t="shared" si="21"/>
        <v>2</v>
      </c>
      <c r="N385">
        <f t="shared" si="22"/>
        <v>5</v>
      </c>
      <c r="O385" t="str">
        <f t="shared" si="23"/>
        <v>Promoter</v>
      </c>
    </row>
    <row r="386" spans="1:15" ht="14.25" customHeight="1" x14ac:dyDescent="0.3">
      <c r="A386" s="3" t="s">
        <v>405</v>
      </c>
      <c r="B386" s="3" t="s">
        <v>1022</v>
      </c>
      <c r="C386" s="3" t="s">
        <v>24</v>
      </c>
      <c r="D386" s="13">
        <v>45955</v>
      </c>
      <c r="E386" s="13">
        <v>45960</v>
      </c>
      <c r="F386" s="13">
        <v>45964</v>
      </c>
      <c r="G386" s="13">
        <v>45966</v>
      </c>
      <c r="H386" s="3" t="s">
        <v>17</v>
      </c>
      <c r="I386" s="3" t="s">
        <v>20</v>
      </c>
      <c r="L386" s="18">
        <f t="shared" si="24"/>
        <v>5</v>
      </c>
      <c r="M386">
        <f t="shared" si="21"/>
        <v>4</v>
      </c>
      <c r="N386">
        <f t="shared" si="22"/>
        <v>2</v>
      </c>
      <c r="O386" t="str">
        <f t="shared" si="23"/>
        <v>Detractor</v>
      </c>
    </row>
    <row r="387" spans="1:15" ht="14.25" customHeight="1" x14ac:dyDescent="0.3">
      <c r="A387" s="3" t="s">
        <v>406</v>
      </c>
      <c r="B387" s="3" t="s">
        <v>1023</v>
      </c>
      <c r="C387" s="3" t="s">
        <v>16</v>
      </c>
      <c r="D387" s="13">
        <v>45946</v>
      </c>
      <c r="H387" s="3" t="s">
        <v>17</v>
      </c>
      <c r="I387" s="3" t="s">
        <v>94</v>
      </c>
      <c r="M387">
        <f t="shared" ref="M387:M450" si="25">F387-E387</f>
        <v>0</v>
      </c>
      <c r="N387">
        <f t="shared" ref="N387:N450" si="26">G387-F387</f>
        <v>0</v>
      </c>
      <c r="O387" t="str">
        <f t="shared" ref="O387:O450" si="27">IF(K387&gt;=9,"Promoter",IF(K387&lt;=6,"Detractor","Passive"))</f>
        <v>Detractor</v>
      </c>
    </row>
    <row r="388" spans="1:15" ht="14.25" customHeight="1" x14ac:dyDescent="0.3">
      <c r="A388" s="3" t="s">
        <v>407</v>
      </c>
      <c r="B388" s="3" t="s">
        <v>1023</v>
      </c>
      <c r="C388" s="3" t="s">
        <v>12</v>
      </c>
      <c r="D388" s="13">
        <v>45951</v>
      </c>
      <c r="E388" s="13">
        <v>45956</v>
      </c>
      <c r="F388" s="13">
        <v>45959</v>
      </c>
      <c r="G388" s="13">
        <v>45962</v>
      </c>
      <c r="H388" s="3" t="s">
        <v>13</v>
      </c>
      <c r="J388" s="4">
        <v>45985</v>
      </c>
      <c r="K388" s="3">
        <v>5</v>
      </c>
      <c r="L388" s="18">
        <f t="shared" ref="L388:L450" si="28">E388-D388</f>
        <v>5</v>
      </c>
      <c r="M388">
        <f t="shared" si="25"/>
        <v>3</v>
      </c>
      <c r="N388">
        <f t="shared" si="26"/>
        <v>3</v>
      </c>
      <c r="O388" t="str">
        <f t="shared" si="27"/>
        <v>Detractor</v>
      </c>
    </row>
    <row r="389" spans="1:15" ht="14.25" customHeight="1" x14ac:dyDescent="0.3">
      <c r="A389" s="3" t="s">
        <v>408</v>
      </c>
      <c r="B389" s="3" t="s">
        <v>1024</v>
      </c>
      <c r="C389" s="3" t="s">
        <v>12</v>
      </c>
      <c r="D389" s="13">
        <v>45945</v>
      </c>
      <c r="E389" s="13">
        <v>45950</v>
      </c>
      <c r="F389" s="13">
        <v>45952</v>
      </c>
      <c r="G389" s="13">
        <v>45957</v>
      </c>
      <c r="H389" s="3" t="s">
        <v>17</v>
      </c>
      <c r="I389" s="3" t="s">
        <v>94</v>
      </c>
      <c r="L389" s="18">
        <f t="shared" si="28"/>
        <v>5</v>
      </c>
      <c r="M389">
        <f t="shared" si="25"/>
        <v>2</v>
      </c>
      <c r="N389">
        <f t="shared" si="26"/>
        <v>5</v>
      </c>
      <c r="O389" t="str">
        <f t="shared" si="27"/>
        <v>Detractor</v>
      </c>
    </row>
    <row r="390" spans="1:15" ht="14.25" customHeight="1" x14ac:dyDescent="0.3">
      <c r="A390" s="3" t="s">
        <v>409</v>
      </c>
      <c r="B390" s="3" t="s">
        <v>1021</v>
      </c>
      <c r="C390" s="3" t="s">
        <v>12</v>
      </c>
      <c r="D390" s="13">
        <v>45955</v>
      </c>
      <c r="E390" s="13">
        <v>45956</v>
      </c>
      <c r="F390" s="13">
        <v>45959</v>
      </c>
      <c r="G390" s="13">
        <v>45961</v>
      </c>
      <c r="H390" s="3" t="s">
        <v>13</v>
      </c>
      <c r="J390" s="4">
        <v>45979</v>
      </c>
      <c r="K390" s="3">
        <v>3</v>
      </c>
      <c r="L390" s="18">
        <f t="shared" si="28"/>
        <v>1</v>
      </c>
      <c r="M390">
        <f t="shared" si="25"/>
        <v>3</v>
      </c>
      <c r="N390">
        <f t="shared" si="26"/>
        <v>2</v>
      </c>
      <c r="O390" t="str">
        <f t="shared" si="27"/>
        <v>Detractor</v>
      </c>
    </row>
    <row r="391" spans="1:15" ht="14.25" customHeight="1" x14ac:dyDescent="0.3">
      <c r="A391" s="3" t="s">
        <v>410</v>
      </c>
      <c r="B391" s="3" t="s">
        <v>1023</v>
      </c>
      <c r="C391" s="3" t="s">
        <v>12</v>
      </c>
      <c r="D391" s="13">
        <v>45932</v>
      </c>
      <c r="E391" s="13">
        <v>45935</v>
      </c>
      <c r="F391" s="13">
        <v>45937</v>
      </c>
      <c r="G391" s="13">
        <v>45944</v>
      </c>
      <c r="H391" s="3" t="s">
        <v>13</v>
      </c>
      <c r="J391" s="4">
        <v>45966</v>
      </c>
      <c r="K391" s="3">
        <v>6</v>
      </c>
      <c r="L391" s="18">
        <f t="shared" si="28"/>
        <v>3</v>
      </c>
      <c r="M391">
        <f t="shared" si="25"/>
        <v>2</v>
      </c>
      <c r="N391">
        <f t="shared" si="26"/>
        <v>7</v>
      </c>
      <c r="O391" t="str">
        <f t="shared" si="27"/>
        <v>Detractor</v>
      </c>
    </row>
    <row r="392" spans="1:15" ht="14.25" customHeight="1" x14ac:dyDescent="0.3">
      <c r="A392" s="3" t="s">
        <v>411</v>
      </c>
      <c r="B392" s="3" t="s">
        <v>1023</v>
      </c>
      <c r="C392" s="3" t="s">
        <v>24</v>
      </c>
      <c r="D392" s="13">
        <v>45937</v>
      </c>
      <c r="E392" s="13">
        <v>45942</v>
      </c>
      <c r="F392" s="13">
        <v>45943</v>
      </c>
      <c r="G392" s="13">
        <v>45945</v>
      </c>
      <c r="H392" s="3" t="s">
        <v>13</v>
      </c>
      <c r="J392" s="4">
        <v>45975</v>
      </c>
      <c r="K392" s="3">
        <v>1</v>
      </c>
      <c r="L392" s="18">
        <f t="shared" si="28"/>
        <v>5</v>
      </c>
      <c r="M392">
        <f t="shared" si="25"/>
        <v>1</v>
      </c>
      <c r="N392">
        <f t="shared" si="26"/>
        <v>2</v>
      </c>
      <c r="O392" t="str">
        <f t="shared" si="27"/>
        <v>Detractor</v>
      </c>
    </row>
    <row r="393" spans="1:15" ht="14.25" customHeight="1" x14ac:dyDescent="0.3">
      <c r="A393" s="3" t="s">
        <v>412</v>
      </c>
      <c r="B393" s="3" t="s">
        <v>1021</v>
      </c>
      <c r="C393" s="3" t="s">
        <v>12</v>
      </c>
      <c r="D393" s="13">
        <v>45939</v>
      </c>
      <c r="E393" s="13">
        <v>45941</v>
      </c>
      <c r="F393" s="13">
        <v>45942</v>
      </c>
      <c r="G393" s="13">
        <v>45944</v>
      </c>
      <c r="H393" s="3" t="s">
        <v>13</v>
      </c>
      <c r="J393" s="4">
        <v>45969</v>
      </c>
      <c r="K393" s="3">
        <v>4</v>
      </c>
      <c r="L393" s="18">
        <f t="shared" si="28"/>
        <v>2</v>
      </c>
      <c r="M393">
        <f t="shared" si="25"/>
        <v>1</v>
      </c>
      <c r="N393">
        <f t="shared" si="26"/>
        <v>2</v>
      </c>
      <c r="O393" t="str">
        <f t="shared" si="27"/>
        <v>Detractor</v>
      </c>
    </row>
    <row r="394" spans="1:15" ht="14.25" customHeight="1" x14ac:dyDescent="0.3">
      <c r="A394" s="3" t="s">
        <v>413</v>
      </c>
      <c r="B394" s="3" t="s">
        <v>1022</v>
      </c>
      <c r="C394" s="3" t="s">
        <v>12</v>
      </c>
      <c r="D394" s="13">
        <v>45948</v>
      </c>
      <c r="E394" s="13">
        <v>45953</v>
      </c>
      <c r="F394" s="13">
        <v>45957</v>
      </c>
      <c r="G394" s="13">
        <v>45961</v>
      </c>
      <c r="H394" s="3" t="s">
        <v>13</v>
      </c>
      <c r="J394" s="4">
        <v>45989</v>
      </c>
      <c r="K394" s="3">
        <v>6</v>
      </c>
      <c r="L394" s="18">
        <f t="shared" si="28"/>
        <v>5</v>
      </c>
      <c r="M394">
        <f t="shared" si="25"/>
        <v>4</v>
      </c>
      <c r="N394">
        <f t="shared" si="26"/>
        <v>4</v>
      </c>
      <c r="O394" t="str">
        <f t="shared" si="27"/>
        <v>Detractor</v>
      </c>
    </row>
    <row r="395" spans="1:15" ht="14.25" customHeight="1" x14ac:dyDescent="0.3">
      <c r="A395" s="3" t="s">
        <v>414</v>
      </c>
      <c r="B395" s="3" t="s">
        <v>1022</v>
      </c>
      <c r="C395" s="3" t="s">
        <v>16</v>
      </c>
      <c r="D395" s="13">
        <v>45935</v>
      </c>
      <c r="H395" s="3" t="s">
        <v>17</v>
      </c>
      <c r="I395" s="3" t="s">
        <v>18</v>
      </c>
      <c r="M395">
        <f t="shared" si="25"/>
        <v>0</v>
      </c>
      <c r="N395">
        <f t="shared" si="26"/>
        <v>0</v>
      </c>
      <c r="O395" t="str">
        <f t="shared" si="27"/>
        <v>Detractor</v>
      </c>
    </row>
    <row r="396" spans="1:15" ht="14.25" customHeight="1" x14ac:dyDescent="0.3">
      <c r="A396" s="3" t="s">
        <v>415</v>
      </c>
      <c r="B396" s="3" t="s">
        <v>1024</v>
      </c>
      <c r="C396" s="3" t="s">
        <v>24</v>
      </c>
      <c r="D396" s="13">
        <v>45960</v>
      </c>
      <c r="E396" s="13">
        <v>45964</v>
      </c>
      <c r="F396" s="13">
        <v>45969</v>
      </c>
      <c r="G396" s="13">
        <v>45973</v>
      </c>
      <c r="H396" s="3" t="s">
        <v>13</v>
      </c>
      <c r="J396" s="4">
        <v>46002</v>
      </c>
      <c r="K396" s="3">
        <v>2</v>
      </c>
      <c r="L396" s="18">
        <f t="shared" si="28"/>
        <v>4</v>
      </c>
      <c r="M396">
        <f t="shared" si="25"/>
        <v>5</v>
      </c>
      <c r="N396">
        <f t="shared" si="26"/>
        <v>4</v>
      </c>
      <c r="O396" t="str">
        <f t="shared" si="27"/>
        <v>Detractor</v>
      </c>
    </row>
    <row r="397" spans="1:15" ht="14.25" customHeight="1" x14ac:dyDescent="0.3">
      <c r="A397" s="3" t="s">
        <v>416</v>
      </c>
      <c r="B397" s="3" t="s">
        <v>1022</v>
      </c>
      <c r="C397" s="3" t="s">
        <v>12</v>
      </c>
      <c r="D397" s="13">
        <v>45940</v>
      </c>
      <c r="E397" s="13">
        <v>45942</v>
      </c>
      <c r="F397" s="13">
        <v>45943</v>
      </c>
      <c r="G397" s="13">
        <v>45947</v>
      </c>
      <c r="H397" s="3" t="s">
        <v>13</v>
      </c>
      <c r="J397" s="4">
        <v>45972</v>
      </c>
      <c r="K397" s="3">
        <v>8</v>
      </c>
      <c r="L397" s="18">
        <f t="shared" si="28"/>
        <v>2</v>
      </c>
      <c r="M397">
        <f t="shared" si="25"/>
        <v>1</v>
      </c>
      <c r="N397">
        <f t="shared" si="26"/>
        <v>4</v>
      </c>
      <c r="O397" t="str">
        <f t="shared" si="27"/>
        <v>Passive</v>
      </c>
    </row>
    <row r="398" spans="1:15" ht="14.25" customHeight="1" x14ac:dyDescent="0.3">
      <c r="A398" s="3" t="s">
        <v>417</v>
      </c>
      <c r="B398" s="3" t="s">
        <v>1021</v>
      </c>
      <c r="C398" s="3" t="s">
        <v>12</v>
      </c>
      <c r="D398" s="13">
        <v>45945</v>
      </c>
      <c r="E398" s="13">
        <v>45947</v>
      </c>
      <c r="F398" s="13">
        <v>45949</v>
      </c>
      <c r="G398" s="13">
        <v>45952</v>
      </c>
      <c r="H398" s="3" t="s">
        <v>13</v>
      </c>
      <c r="J398" s="4">
        <v>45963</v>
      </c>
      <c r="K398" s="3">
        <v>6</v>
      </c>
      <c r="L398" s="18">
        <f t="shared" si="28"/>
        <v>2</v>
      </c>
      <c r="M398">
        <f t="shared" si="25"/>
        <v>2</v>
      </c>
      <c r="N398">
        <f t="shared" si="26"/>
        <v>3</v>
      </c>
      <c r="O398" t="str">
        <f t="shared" si="27"/>
        <v>Detractor</v>
      </c>
    </row>
    <row r="399" spans="1:15" ht="14.25" customHeight="1" x14ac:dyDescent="0.3">
      <c r="A399" s="3" t="s">
        <v>418</v>
      </c>
      <c r="B399" s="3" t="s">
        <v>1023</v>
      </c>
      <c r="C399" s="3" t="s">
        <v>12</v>
      </c>
      <c r="D399" s="13">
        <v>45959</v>
      </c>
      <c r="E399" s="13">
        <v>45961</v>
      </c>
      <c r="F399" s="13">
        <v>45963</v>
      </c>
      <c r="G399" s="13">
        <v>45968</v>
      </c>
      <c r="H399" s="3" t="s">
        <v>13</v>
      </c>
      <c r="J399" s="4">
        <v>45983</v>
      </c>
      <c r="K399" s="3">
        <v>2</v>
      </c>
      <c r="L399" s="18">
        <f t="shared" si="28"/>
        <v>2</v>
      </c>
      <c r="M399">
        <f t="shared" si="25"/>
        <v>2</v>
      </c>
      <c r="N399">
        <f t="shared" si="26"/>
        <v>5</v>
      </c>
      <c r="O399" t="str">
        <f t="shared" si="27"/>
        <v>Detractor</v>
      </c>
    </row>
    <row r="400" spans="1:15" ht="14.25" customHeight="1" x14ac:dyDescent="0.3">
      <c r="A400" s="3" t="s">
        <v>419</v>
      </c>
      <c r="B400" s="3" t="s">
        <v>1022</v>
      </c>
      <c r="C400" s="3" t="s">
        <v>12</v>
      </c>
      <c r="D400" s="13">
        <v>45953</v>
      </c>
      <c r="E400" s="13">
        <v>45958</v>
      </c>
      <c r="F400" s="13">
        <v>45959</v>
      </c>
      <c r="G400" s="13">
        <v>45962</v>
      </c>
      <c r="H400" s="3" t="s">
        <v>13</v>
      </c>
      <c r="J400" s="4">
        <v>45980</v>
      </c>
      <c r="K400" s="3">
        <v>6</v>
      </c>
      <c r="L400" s="18">
        <f t="shared" si="28"/>
        <v>5</v>
      </c>
      <c r="M400">
        <f t="shared" si="25"/>
        <v>1</v>
      </c>
      <c r="N400">
        <f t="shared" si="26"/>
        <v>3</v>
      </c>
      <c r="O400" t="str">
        <f t="shared" si="27"/>
        <v>Detractor</v>
      </c>
    </row>
    <row r="401" spans="1:15" ht="14.25" customHeight="1" x14ac:dyDescent="0.3">
      <c r="A401" s="3" t="s">
        <v>420</v>
      </c>
      <c r="B401" s="3" t="s">
        <v>1024</v>
      </c>
      <c r="C401" s="3" t="s">
        <v>12</v>
      </c>
      <c r="D401" s="13">
        <v>45946</v>
      </c>
      <c r="E401" s="13">
        <v>45948</v>
      </c>
      <c r="F401" s="13">
        <v>45949</v>
      </c>
      <c r="G401" s="13">
        <v>45956</v>
      </c>
      <c r="H401" s="3" t="s">
        <v>13</v>
      </c>
      <c r="J401" s="4">
        <v>45978</v>
      </c>
      <c r="K401" s="3">
        <v>7</v>
      </c>
      <c r="L401" s="18">
        <f t="shared" si="28"/>
        <v>2</v>
      </c>
      <c r="M401">
        <f t="shared" si="25"/>
        <v>1</v>
      </c>
      <c r="N401">
        <f t="shared" si="26"/>
        <v>7</v>
      </c>
      <c r="O401" t="str">
        <f t="shared" si="27"/>
        <v>Passive</v>
      </c>
    </row>
    <row r="402" spans="1:15" ht="14.25" customHeight="1" x14ac:dyDescent="0.3">
      <c r="A402" s="3" t="s">
        <v>421</v>
      </c>
      <c r="B402" s="3" t="s">
        <v>1022</v>
      </c>
      <c r="C402" s="3" t="s">
        <v>12</v>
      </c>
      <c r="D402" s="13">
        <v>45934</v>
      </c>
      <c r="E402" s="13">
        <v>45938</v>
      </c>
      <c r="F402" s="13">
        <v>45943</v>
      </c>
      <c r="G402" s="13">
        <v>45950</v>
      </c>
      <c r="H402" s="3" t="s">
        <v>13</v>
      </c>
      <c r="J402" s="4">
        <v>45964</v>
      </c>
      <c r="K402" s="3">
        <v>1</v>
      </c>
      <c r="L402" s="18">
        <f t="shared" si="28"/>
        <v>4</v>
      </c>
      <c r="M402">
        <f t="shared" si="25"/>
        <v>5</v>
      </c>
      <c r="N402">
        <f t="shared" si="26"/>
        <v>7</v>
      </c>
      <c r="O402" t="str">
        <f t="shared" si="27"/>
        <v>Detractor</v>
      </c>
    </row>
    <row r="403" spans="1:15" ht="14.25" customHeight="1" x14ac:dyDescent="0.3">
      <c r="A403" s="3" t="s">
        <v>422</v>
      </c>
      <c r="B403" s="3" t="s">
        <v>1021</v>
      </c>
      <c r="C403" s="3" t="s">
        <v>12</v>
      </c>
      <c r="D403" s="13">
        <v>45931</v>
      </c>
      <c r="E403" s="13">
        <v>45932</v>
      </c>
      <c r="F403" s="13">
        <v>45933</v>
      </c>
      <c r="G403" s="13">
        <v>45936</v>
      </c>
      <c r="H403" s="3" t="s">
        <v>13</v>
      </c>
      <c r="J403" s="4">
        <v>45965</v>
      </c>
      <c r="K403" s="3">
        <v>8</v>
      </c>
      <c r="L403" s="18">
        <f t="shared" si="28"/>
        <v>1</v>
      </c>
      <c r="M403">
        <f t="shared" si="25"/>
        <v>1</v>
      </c>
      <c r="N403">
        <f t="shared" si="26"/>
        <v>3</v>
      </c>
      <c r="O403" t="str">
        <f t="shared" si="27"/>
        <v>Passive</v>
      </c>
    </row>
    <row r="404" spans="1:15" ht="14.25" customHeight="1" x14ac:dyDescent="0.3">
      <c r="A404" s="3" t="s">
        <v>423</v>
      </c>
      <c r="B404" s="3" t="s">
        <v>1024</v>
      </c>
      <c r="C404" s="3" t="s">
        <v>12</v>
      </c>
      <c r="D404" s="13">
        <v>45951</v>
      </c>
      <c r="E404" s="13">
        <v>45955</v>
      </c>
      <c r="F404" s="13">
        <v>45959</v>
      </c>
      <c r="G404" s="13">
        <v>45961</v>
      </c>
      <c r="H404" s="3" t="s">
        <v>13</v>
      </c>
      <c r="J404" s="4">
        <v>45990</v>
      </c>
      <c r="K404" s="3">
        <v>7</v>
      </c>
      <c r="L404" s="18">
        <f t="shared" si="28"/>
        <v>4</v>
      </c>
      <c r="M404">
        <f t="shared" si="25"/>
        <v>4</v>
      </c>
      <c r="N404">
        <f t="shared" si="26"/>
        <v>2</v>
      </c>
      <c r="O404" t="str">
        <f t="shared" si="27"/>
        <v>Passive</v>
      </c>
    </row>
    <row r="405" spans="1:15" ht="14.25" customHeight="1" x14ac:dyDescent="0.3">
      <c r="A405" s="3" t="s">
        <v>424</v>
      </c>
      <c r="B405" s="3" t="s">
        <v>1022</v>
      </c>
      <c r="C405" s="3" t="s">
        <v>16</v>
      </c>
      <c r="D405" s="13">
        <v>45950</v>
      </c>
      <c r="H405" s="3" t="s">
        <v>17</v>
      </c>
      <c r="I405" s="3" t="s">
        <v>26</v>
      </c>
      <c r="M405">
        <f t="shared" si="25"/>
        <v>0</v>
      </c>
      <c r="N405">
        <f t="shared" si="26"/>
        <v>0</v>
      </c>
      <c r="O405" t="str">
        <f t="shared" si="27"/>
        <v>Detractor</v>
      </c>
    </row>
    <row r="406" spans="1:15" ht="14.25" customHeight="1" x14ac:dyDescent="0.3">
      <c r="A406" s="3" t="s">
        <v>425</v>
      </c>
      <c r="B406" s="3" t="s">
        <v>1024</v>
      </c>
      <c r="C406" s="3" t="s">
        <v>12</v>
      </c>
      <c r="D406" s="13">
        <v>45956</v>
      </c>
      <c r="E406" s="13">
        <v>45959</v>
      </c>
      <c r="F406" s="13">
        <v>45964</v>
      </c>
      <c r="G406" s="13">
        <v>45970</v>
      </c>
      <c r="H406" s="3" t="s">
        <v>17</v>
      </c>
      <c r="I406" s="3" t="s">
        <v>18</v>
      </c>
      <c r="L406" s="18">
        <f t="shared" si="28"/>
        <v>3</v>
      </c>
      <c r="M406">
        <f t="shared" si="25"/>
        <v>5</v>
      </c>
      <c r="N406">
        <f t="shared" si="26"/>
        <v>6</v>
      </c>
      <c r="O406" t="str">
        <f t="shared" si="27"/>
        <v>Detractor</v>
      </c>
    </row>
    <row r="407" spans="1:15" ht="14.25" customHeight="1" x14ac:dyDescent="0.3">
      <c r="A407" s="3" t="s">
        <v>426</v>
      </c>
      <c r="B407" s="3" t="s">
        <v>1021</v>
      </c>
      <c r="C407" s="3" t="s">
        <v>12</v>
      </c>
      <c r="D407" s="13">
        <v>45938</v>
      </c>
      <c r="E407" s="13">
        <v>45940</v>
      </c>
      <c r="F407" s="13">
        <v>45941</v>
      </c>
      <c r="G407" s="13">
        <v>45947</v>
      </c>
      <c r="H407" s="3" t="s">
        <v>13</v>
      </c>
      <c r="J407" s="4">
        <v>45969</v>
      </c>
      <c r="K407" s="3">
        <v>7</v>
      </c>
      <c r="L407" s="18">
        <f t="shared" si="28"/>
        <v>2</v>
      </c>
      <c r="M407">
        <f t="shared" si="25"/>
        <v>1</v>
      </c>
      <c r="N407">
        <f t="shared" si="26"/>
        <v>6</v>
      </c>
      <c r="O407" t="str">
        <f t="shared" si="27"/>
        <v>Passive</v>
      </c>
    </row>
    <row r="408" spans="1:15" ht="14.25" customHeight="1" x14ac:dyDescent="0.3">
      <c r="A408" s="3" t="s">
        <v>427</v>
      </c>
      <c r="B408" s="3" t="s">
        <v>1023</v>
      </c>
      <c r="C408" s="3" t="s">
        <v>24</v>
      </c>
      <c r="D408" s="13">
        <v>45953</v>
      </c>
      <c r="E408" s="13">
        <v>45957</v>
      </c>
      <c r="F408" s="13">
        <v>45959</v>
      </c>
      <c r="G408" s="13">
        <v>45961</v>
      </c>
      <c r="H408" s="3" t="s">
        <v>13</v>
      </c>
      <c r="J408" s="4">
        <v>45972</v>
      </c>
      <c r="K408" s="3">
        <v>7</v>
      </c>
      <c r="L408" s="18">
        <f t="shared" si="28"/>
        <v>4</v>
      </c>
      <c r="M408">
        <f t="shared" si="25"/>
        <v>2</v>
      </c>
      <c r="N408">
        <f t="shared" si="26"/>
        <v>2</v>
      </c>
      <c r="O408" t="str">
        <f t="shared" si="27"/>
        <v>Passive</v>
      </c>
    </row>
    <row r="409" spans="1:15" ht="14.25" customHeight="1" x14ac:dyDescent="0.3">
      <c r="A409" s="3" t="s">
        <v>428</v>
      </c>
      <c r="B409" s="3" t="s">
        <v>1021</v>
      </c>
      <c r="C409" s="3" t="s">
        <v>16</v>
      </c>
      <c r="D409" s="13">
        <v>45936</v>
      </c>
      <c r="H409" s="3" t="s">
        <v>17</v>
      </c>
      <c r="I409" s="3" t="s">
        <v>18</v>
      </c>
      <c r="M409">
        <f t="shared" si="25"/>
        <v>0</v>
      </c>
      <c r="N409">
        <f t="shared" si="26"/>
        <v>0</v>
      </c>
      <c r="O409" t="str">
        <f t="shared" si="27"/>
        <v>Detractor</v>
      </c>
    </row>
    <row r="410" spans="1:15" ht="14.25" customHeight="1" x14ac:dyDescent="0.3">
      <c r="A410" s="3" t="s">
        <v>429</v>
      </c>
      <c r="B410" s="3" t="s">
        <v>1021</v>
      </c>
      <c r="C410" s="3" t="s">
        <v>24</v>
      </c>
      <c r="D410" s="13">
        <v>45940</v>
      </c>
      <c r="E410" s="13">
        <v>45945</v>
      </c>
      <c r="F410" s="13">
        <v>45946</v>
      </c>
      <c r="G410" s="13">
        <v>45952</v>
      </c>
      <c r="H410" s="3" t="s">
        <v>17</v>
      </c>
      <c r="I410" s="3" t="s">
        <v>18</v>
      </c>
      <c r="L410" s="18">
        <f t="shared" si="28"/>
        <v>5</v>
      </c>
      <c r="M410">
        <f t="shared" si="25"/>
        <v>1</v>
      </c>
      <c r="N410">
        <f t="shared" si="26"/>
        <v>6</v>
      </c>
      <c r="O410" t="str">
        <f t="shared" si="27"/>
        <v>Detractor</v>
      </c>
    </row>
    <row r="411" spans="1:15" ht="14.25" customHeight="1" x14ac:dyDescent="0.3">
      <c r="A411" s="3" t="s">
        <v>430</v>
      </c>
      <c r="B411" s="3" t="s">
        <v>1021</v>
      </c>
      <c r="C411" s="3" t="s">
        <v>24</v>
      </c>
      <c r="D411" s="13">
        <v>45948</v>
      </c>
      <c r="E411" s="13">
        <v>45951</v>
      </c>
      <c r="F411" s="13">
        <v>45955</v>
      </c>
      <c r="G411" s="13">
        <v>45962</v>
      </c>
      <c r="H411" s="3" t="s">
        <v>13</v>
      </c>
      <c r="J411" s="4">
        <v>45984</v>
      </c>
      <c r="K411" s="3">
        <v>1</v>
      </c>
      <c r="L411" s="18">
        <f t="shared" si="28"/>
        <v>3</v>
      </c>
      <c r="M411">
        <f t="shared" si="25"/>
        <v>4</v>
      </c>
      <c r="N411">
        <f t="shared" si="26"/>
        <v>7</v>
      </c>
      <c r="O411" t="str">
        <f t="shared" si="27"/>
        <v>Detractor</v>
      </c>
    </row>
    <row r="412" spans="1:15" ht="14.25" customHeight="1" x14ac:dyDescent="0.3">
      <c r="A412" s="3" t="s">
        <v>431</v>
      </c>
      <c r="B412" s="3" t="s">
        <v>1021</v>
      </c>
      <c r="C412" s="3" t="s">
        <v>24</v>
      </c>
      <c r="D412" s="13">
        <v>45931</v>
      </c>
      <c r="E412" s="13">
        <v>45935</v>
      </c>
      <c r="F412" s="13">
        <v>45939</v>
      </c>
      <c r="G412" s="13">
        <v>45942</v>
      </c>
      <c r="H412" s="3" t="s">
        <v>13</v>
      </c>
      <c r="J412" s="4">
        <v>45962</v>
      </c>
      <c r="K412" s="3">
        <v>1</v>
      </c>
      <c r="L412" s="18">
        <f t="shared" si="28"/>
        <v>4</v>
      </c>
      <c r="M412">
        <f t="shared" si="25"/>
        <v>4</v>
      </c>
      <c r="N412">
        <f t="shared" si="26"/>
        <v>3</v>
      </c>
      <c r="O412" t="str">
        <f t="shared" si="27"/>
        <v>Detractor</v>
      </c>
    </row>
    <row r="413" spans="1:15" ht="14.25" customHeight="1" x14ac:dyDescent="0.3">
      <c r="A413" s="3" t="s">
        <v>432</v>
      </c>
      <c r="B413" s="3" t="s">
        <v>1023</v>
      </c>
      <c r="C413" s="3" t="s">
        <v>12</v>
      </c>
      <c r="D413" s="13">
        <v>45948</v>
      </c>
      <c r="E413" s="13">
        <v>45950</v>
      </c>
      <c r="F413" s="13">
        <v>45952</v>
      </c>
      <c r="G413" s="13">
        <v>45957</v>
      </c>
      <c r="H413" s="3" t="s">
        <v>13</v>
      </c>
      <c r="J413" s="4">
        <v>45974</v>
      </c>
      <c r="K413" s="3">
        <v>10</v>
      </c>
      <c r="L413" s="18">
        <f t="shared" si="28"/>
        <v>2</v>
      </c>
      <c r="M413">
        <f t="shared" si="25"/>
        <v>2</v>
      </c>
      <c r="N413">
        <f t="shared" si="26"/>
        <v>5</v>
      </c>
      <c r="O413" t="str">
        <f t="shared" si="27"/>
        <v>Promoter</v>
      </c>
    </row>
    <row r="414" spans="1:15" ht="14.25" customHeight="1" x14ac:dyDescent="0.3">
      <c r="A414" s="3" t="s">
        <v>433</v>
      </c>
      <c r="B414" s="3" t="s">
        <v>1023</v>
      </c>
      <c r="C414" s="3" t="s">
        <v>24</v>
      </c>
      <c r="D414" s="13">
        <v>45944</v>
      </c>
      <c r="E414" s="13">
        <v>45949</v>
      </c>
      <c r="F414" s="13">
        <v>45954</v>
      </c>
      <c r="G414" s="13">
        <v>45958</v>
      </c>
      <c r="H414" s="3" t="s">
        <v>13</v>
      </c>
      <c r="J414" s="4">
        <v>45969</v>
      </c>
      <c r="K414" s="3">
        <v>7</v>
      </c>
      <c r="L414" s="18">
        <f t="shared" si="28"/>
        <v>5</v>
      </c>
      <c r="M414">
        <f t="shared" si="25"/>
        <v>5</v>
      </c>
      <c r="N414">
        <f t="shared" si="26"/>
        <v>4</v>
      </c>
      <c r="O414" t="str">
        <f t="shared" si="27"/>
        <v>Passive</v>
      </c>
    </row>
    <row r="415" spans="1:15" ht="14.25" customHeight="1" x14ac:dyDescent="0.3">
      <c r="A415" s="3" t="s">
        <v>434</v>
      </c>
      <c r="B415" s="3" t="s">
        <v>1024</v>
      </c>
      <c r="C415" s="3" t="s">
        <v>24</v>
      </c>
      <c r="D415" s="13">
        <v>45933</v>
      </c>
      <c r="E415" s="13">
        <v>45935</v>
      </c>
      <c r="F415" s="13">
        <v>45937</v>
      </c>
      <c r="G415" s="13">
        <v>45944</v>
      </c>
      <c r="H415" s="3" t="s">
        <v>13</v>
      </c>
      <c r="J415" s="4">
        <v>45969</v>
      </c>
      <c r="K415" s="3">
        <v>3</v>
      </c>
      <c r="L415" s="18">
        <f t="shared" si="28"/>
        <v>2</v>
      </c>
      <c r="M415">
        <f t="shared" si="25"/>
        <v>2</v>
      </c>
      <c r="N415">
        <f t="shared" si="26"/>
        <v>7</v>
      </c>
      <c r="O415" t="str">
        <f t="shared" si="27"/>
        <v>Detractor</v>
      </c>
    </row>
    <row r="416" spans="1:15" ht="14.25" customHeight="1" x14ac:dyDescent="0.3">
      <c r="A416" s="3" t="s">
        <v>435</v>
      </c>
      <c r="B416" s="3" t="s">
        <v>1022</v>
      </c>
      <c r="C416" s="3" t="s">
        <v>24</v>
      </c>
      <c r="D416" s="13">
        <v>45938</v>
      </c>
      <c r="E416" s="13">
        <v>45941</v>
      </c>
      <c r="F416" s="13">
        <v>45942</v>
      </c>
      <c r="G416" s="13">
        <v>45945</v>
      </c>
      <c r="H416" s="3" t="s">
        <v>17</v>
      </c>
      <c r="I416" s="3" t="s">
        <v>94</v>
      </c>
      <c r="L416" s="18">
        <f t="shared" si="28"/>
        <v>3</v>
      </c>
      <c r="M416">
        <f t="shared" si="25"/>
        <v>1</v>
      </c>
      <c r="N416">
        <f t="shared" si="26"/>
        <v>3</v>
      </c>
      <c r="O416" t="str">
        <f t="shared" si="27"/>
        <v>Detractor</v>
      </c>
    </row>
    <row r="417" spans="1:15" ht="14.25" customHeight="1" x14ac:dyDescent="0.3">
      <c r="A417" s="3" t="s">
        <v>436</v>
      </c>
      <c r="B417" s="3" t="s">
        <v>1023</v>
      </c>
      <c r="C417" s="3" t="s">
        <v>24</v>
      </c>
      <c r="D417" s="13">
        <v>45957</v>
      </c>
      <c r="E417" s="13">
        <v>45961</v>
      </c>
      <c r="F417" s="13">
        <v>45963</v>
      </c>
      <c r="G417" s="13">
        <v>45970</v>
      </c>
      <c r="H417" s="3" t="s">
        <v>13</v>
      </c>
      <c r="J417" s="4">
        <v>45988</v>
      </c>
      <c r="K417" s="3">
        <v>0</v>
      </c>
      <c r="L417" s="18">
        <f t="shared" si="28"/>
        <v>4</v>
      </c>
      <c r="M417">
        <f t="shared" si="25"/>
        <v>2</v>
      </c>
      <c r="N417">
        <f t="shared" si="26"/>
        <v>7</v>
      </c>
      <c r="O417" t="str">
        <f t="shared" si="27"/>
        <v>Detractor</v>
      </c>
    </row>
    <row r="418" spans="1:15" ht="14.25" customHeight="1" x14ac:dyDescent="0.3">
      <c r="A418" s="3" t="s">
        <v>437</v>
      </c>
      <c r="B418" s="3" t="s">
        <v>1023</v>
      </c>
      <c r="C418" s="3" t="s">
        <v>12</v>
      </c>
      <c r="D418" s="13">
        <v>45960</v>
      </c>
      <c r="E418" s="13">
        <v>45962</v>
      </c>
      <c r="F418" s="13">
        <v>45967</v>
      </c>
      <c r="G418" s="13">
        <v>45974</v>
      </c>
      <c r="H418" s="3" t="s">
        <v>13</v>
      </c>
      <c r="J418" s="4">
        <v>45995</v>
      </c>
      <c r="K418" s="3">
        <v>4</v>
      </c>
      <c r="L418" s="18">
        <f t="shared" si="28"/>
        <v>2</v>
      </c>
      <c r="M418">
        <f t="shared" si="25"/>
        <v>5</v>
      </c>
      <c r="N418">
        <f t="shared" si="26"/>
        <v>7</v>
      </c>
      <c r="O418" t="str">
        <f t="shared" si="27"/>
        <v>Detractor</v>
      </c>
    </row>
    <row r="419" spans="1:15" ht="14.25" customHeight="1" x14ac:dyDescent="0.3">
      <c r="A419" s="3" t="s">
        <v>438</v>
      </c>
      <c r="B419" s="3" t="s">
        <v>1022</v>
      </c>
      <c r="C419" s="3" t="s">
        <v>12</v>
      </c>
      <c r="D419" s="13">
        <v>45934</v>
      </c>
      <c r="E419" s="13">
        <v>45937</v>
      </c>
      <c r="F419" s="13">
        <v>45940</v>
      </c>
      <c r="G419" s="13">
        <v>45943</v>
      </c>
      <c r="H419" s="3" t="s">
        <v>13</v>
      </c>
      <c r="J419" s="4">
        <v>45953</v>
      </c>
      <c r="K419" s="3">
        <v>10</v>
      </c>
      <c r="L419" s="18">
        <f t="shared" si="28"/>
        <v>3</v>
      </c>
      <c r="M419">
        <f t="shared" si="25"/>
        <v>3</v>
      </c>
      <c r="N419">
        <f t="shared" si="26"/>
        <v>3</v>
      </c>
      <c r="O419" t="str">
        <f t="shared" si="27"/>
        <v>Promoter</v>
      </c>
    </row>
    <row r="420" spans="1:15" ht="14.25" customHeight="1" x14ac:dyDescent="0.3">
      <c r="A420" s="3" t="s">
        <v>439</v>
      </c>
      <c r="B420" s="3" t="s">
        <v>1023</v>
      </c>
      <c r="C420" s="3" t="s">
        <v>12</v>
      </c>
      <c r="D420" s="13">
        <v>45945</v>
      </c>
      <c r="E420" s="13">
        <v>45950</v>
      </c>
      <c r="F420" s="13">
        <v>45952</v>
      </c>
      <c r="G420" s="13">
        <v>45957</v>
      </c>
      <c r="H420" s="3" t="s">
        <v>13</v>
      </c>
      <c r="J420" s="4">
        <v>45977</v>
      </c>
      <c r="K420" s="3">
        <v>9</v>
      </c>
      <c r="L420" s="18">
        <f t="shared" si="28"/>
        <v>5</v>
      </c>
      <c r="M420">
        <f t="shared" si="25"/>
        <v>2</v>
      </c>
      <c r="N420">
        <f t="shared" si="26"/>
        <v>5</v>
      </c>
      <c r="O420" t="str">
        <f t="shared" si="27"/>
        <v>Promoter</v>
      </c>
    </row>
    <row r="421" spans="1:15" ht="14.25" customHeight="1" x14ac:dyDescent="0.3">
      <c r="A421" s="3" t="s">
        <v>440</v>
      </c>
      <c r="B421" s="3" t="s">
        <v>1021</v>
      </c>
      <c r="C421" s="3" t="s">
        <v>12</v>
      </c>
      <c r="D421" s="13">
        <v>45961</v>
      </c>
      <c r="E421" s="13">
        <v>45965</v>
      </c>
      <c r="F421" s="13">
        <v>45970</v>
      </c>
      <c r="G421" s="13">
        <v>45976</v>
      </c>
      <c r="H421" s="3" t="s">
        <v>13</v>
      </c>
      <c r="J421" s="4">
        <v>45995</v>
      </c>
      <c r="K421" s="3">
        <v>5</v>
      </c>
      <c r="L421" s="18">
        <f t="shared" si="28"/>
        <v>4</v>
      </c>
      <c r="M421">
        <f t="shared" si="25"/>
        <v>5</v>
      </c>
      <c r="N421">
        <f t="shared" si="26"/>
        <v>6</v>
      </c>
      <c r="O421" t="str">
        <f t="shared" si="27"/>
        <v>Detractor</v>
      </c>
    </row>
    <row r="422" spans="1:15" ht="14.25" customHeight="1" x14ac:dyDescent="0.3">
      <c r="A422" s="3" t="s">
        <v>441</v>
      </c>
      <c r="B422" s="3" t="s">
        <v>1021</v>
      </c>
      <c r="C422" s="3" t="s">
        <v>12</v>
      </c>
      <c r="D422" s="13">
        <v>45934</v>
      </c>
      <c r="E422" s="13">
        <v>45938</v>
      </c>
      <c r="F422" s="13">
        <v>45941</v>
      </c>
      <c r="G422" s="13">
        <v>45948</v>
      </c>
      <c r="H422" s="3" t="s">
        <v>13</v>
      </c>
      <c r="J422" s="4">
        <v>45967</v>
      </c>
      <c r="K422" s="3">
        <v>1</v>
      </c>
      <c r="L422" s="18">
        <f t="shared" si="28"/>
        <v>4</v>
      </c>
      <c r="M422">
        <f t="shared" si="25"/>
        <v>3</v>
      </c>
      <c r="N422">
        <f t="shared" si="26"/>
        <v>7</v>
      </c>
      <c r="O422" t="str">
        <f t="shared" si="27"/>
        <v>Detractor</v>
      </c>
    </row>
    <row r="423" spans="1:15" ht="14.25" customHeight="1" x14ac:dyDescent="0.3">
      <c r="A423" s="3" t="s">
        <v>442</v>
      </c>
      <c r="B423" s="3" t="s">
        <v>1022</v>
      </c>
      <c r="C423" s="3" t="s">
        <v>24</v>
      </c>
      <c r="D423" s="13">
        <v>45951</v>
      </c>
      <c r="E423" s="13">
        <v>45954</v>
      </c>
      <c r="F423" s="13">
        <v>45959</v>
      </c>
      <c r="G423" s="13">
        <v>45964</v>
      </c>
      <c r="H423" s="3" t="s">
        <v>13</v>
      </c>
      <c r="J423" s="4">
        <v>45982</v>
      </c>
      <c r="K423" s="3">
        <v>7</v>
      </c>
      <c r="L423" s="18">
        <f t="shared" si="28"/>
        <v>3</v>
      </c>
      <c r="M423">
        <f t="shared" si="25"/>
        <v>5</v>
      </c>
      <c r="N423">
        <f t="shared" si="26"/>
        <v>5</v>
      </c>
      <c r="O423" t="str">
        <f t="shared" si="27"/>
        <v>Passive</v>
      </c>
    </row>
    <row r="424" spans="1:15" ht="14.25" customHeight="1" x14ac:dyDescent="0.3">
      <c r="A424" s="3" t="s">
        <v>443</v>
      </c>
      <c r="B424" s="3" t="s">
        <v>1024</v>
      </c>
      <c r="C424" s="3" t="s">
        <v>12</v>
      </c>
      <c r="D424" s="13">
        <v>45957</v>
      </c>
      <c r="E424" s="13">
        <v>45961</v>
      </c>
      <c r="F424" s="13">
        <v>45966</v>
      </c>
      <c r="G424" s="13">
        <v>45969</v>
      </c>
      <c r="H424" s="3" t="s">
        <v>13</v>
      </c>
      <c r="J424" s="4">
        <v>45994</v>
      </c>
      <c r="K424" s="3">
        <v>2</v>
      </c>
      <c r="L424" s="18">
        <f t="shared" si="28"/>
        <v>4</v>
      </c>
      <c r="M424">
        <f t="shared" si="25"/>
        <v>5</v>
      </c>
      <c r="N424">
        <f t="shared" si="26"/>
        <v>3</v>
      </c>
      <c r="O424" t="str">
        <f t="shared" si="27"/>
        <v>Detractor</v>
      </c>
    </row>
    <row r="425" spans="1:15" ht="14.25" customHeight="1" x14ac:dyDescent="0.3">
      <c r="A425" s="3" t="s">
        <v>444</v>
      </c>
      <c r="B425" s="3" t="s">
        <v>1024</v>
      </c>
      <c r="C425" s="3" t="s">
        <v>16</v>
      </c>
      <c r="D425" s="13">
        <v>45935</v>
      </c>
      <c r="H425" s="3" t="s">
        <v>17</v>
      </c>
      <c r="I425" s="3" t="s">
        <v>94</v>
      </c>
      <c r="M425">
        <f t="shared" si="25"/>
        <v>0</v>
      </c>
      <c r="N425">
        <f t="shared" si="26"/>
        <v>0</v>
      </c>
      <c r="O425" t="str">
        <f t="shared" si="27"/>
        <v>Detractor</v>
      </c>
    </row>
    <row r="426" spans="1:15" ht="14.25" customHeight="1" x14ac:dyDescent="0.3">
      <c r="A426" s="3" t="s">
        <v>445</v>
      </c>
      <c r="B426" s="3" t="s">
        <v>1022</v>
      </c>
      <c r="C426" s="3" t="s">
        <v>12</v>
      </c>
      <c r="D426" s="13">
        <v>45946</v>
      </c>
      <c r="E426" s="13">
        <v>45951</v>
      </c>
      <c r="F426" s="13">
        <v>45954</v>
      </c>
      <c r="G426" s="13">
        <v>45956</v>
      </c>
      <c r="H426" s="3" t="s">
        <v>13</v>
      </c>
      <c r="J426" s="4">
        <v>45969</v>
      </c>
      <c r="K426" s="3">
        <v>3</v>
      </c>
      <c r="L426" s="18">
        <f t="shared" si="28"/>
        <v>5</v>
      </c>
      <c r="M426">
        <f t="shared" si="25"/>
        <v>3</v>
      </c>
      <c r="N426">
        <f t="shared" si="26"/>
        <v>2</v>
      </c>
      <c r="O426" t="str">
        <f t="shared" si="27"/>
        <v>Detractor</v>
      </c>
    </row>
    <row r="427" spans="1:15" ht="14.25" customHeight="1" x14ac:dyDescent="0.3">
      <c r="A427" s="3" t="s">
        <v>446</v>
      </c>
      <c r="B427" s="3" t="s">
        <v>1022</v>
      </c>
      <c r="C427" s="3" t="s">
        <v>24</v>
      </c>
      <c r="D427" s="13">
        <v>45960</v>
      </c>
      <c r="E427" s="13">
        <v>45965</v>
      </c>
      <c r="F427" s="13">
        <v>45967</v>
      </c>
      <c r="G427" s="13">
        <v>45969</v>
      </c>
      <c r="H427" s="3" t="s">
        <v>13</v>
      </c>
      <c r="J427" s="4">
        <v>45986</v>
      </c>
      <c r="K427" s="3">
        <v>3</v>
      </c>
      <c r="L427" s="18">
        <f t="shared" si="28"/>
        <v>5</v>
      </c>
      <c r="M427">
        <f t="shared" si="25"/>
        <v>2</v>
      </c>
      <c r="N427">
        <f t="shared" si="26"/>
        <v>2</v>
      </c>
      <c r="O427" t="str">
        <f t="shared" si="27"/>
        <v>Detractor</v>
      </c>
    </row>
    <row r="428" spans="1:15" ht="14.25" customHeight="1" x14ac:dyDescent="0.3">
      <c r="A428" s="3" t="s">
        <v>447</v>
      </c>
      <c r="B428" s="3" t="s">
        <v>1021</v>
      </c>
      <c r="C428" s="3" t="s">
        <v>12</v>
      </c>
      <c r="D428" s="13">
        <v>45953</v>
      </c>
      <c r="E428" s="13">
        <v>45957</v>
      </c>
      <c r="F428" s="13">
        <v>45960</v>
      </c>
      <c r="G428" s="13">
        <v>45963</v>
      </c>
      <c r="H428" s="3" t="s">
        <v>13</v>
      </c>
      <c r="J428" s="4">
        <v>45977</v>
      </c>
      <c r="K428" s="3">
        <v>6</v>
      </c>
      <c r="L428" s="18">
        <f t="shared" si="28"/>
        <v>4</v>
      </c>
      <c r="M428">
        <f t="shared" si="25"/>
        <v>3</v>
      </c>
      <c r="N428">
        <f t="shared" si="26"/>
        <v>3</v>
      </c>
      <c r="O428" t="str">
        <f t="shared" si="27"/>
        <v>Detractor</v>
      </c>
    </row>
    <row r="429" spans="1:15" ht="14.25" customHeight="1" x14ac:dyDescent="0.3">
      <c r="A429" s="3" t="s">
        <v>448</v>
      </c>
      <c r="B429" s="3" t="s">
        <v>1024</v>
      </c>
      <c r="C429" s="3" t="s">
        <v>12</v>
      </c>
      <c r="D429" s="13">
        <v>45940</v>
      </c>
      <c r="E429" s="13">
        <v>45942</v>
      </c>
      <c r="F429" s="13">
        <v>45944</v>
      </c>
      <c r="G429" s="13">
        <v>45946</v>
      </c>
      <c r="H429" s="3" t="s">
        <v>13</v>
      </c>
      <c r="J429" s="4">
        <v>45965</v>
      </c>
      <c r="K429" s="3">
        <v>7</v>
      </c>
      <c r="L429" s="18">
        <f t="shared" si="28"/>
        <v>2</v>
      </c>
      <c r="M429">
        <f t="shared" si="25"/>
        <v>2</v>
      </c>
      <c r="N429">
        <f t="shared" si="26"/>
        <v>2</v>
      </c>
      <c r="O429" t="str">
        <f t="shared" si="27"/>
        <v>Passive</v>
      </c>
    </row>
    <row r="430" spans="1:15" ht="14.25" customHeight="1" x14ac:dyDescent="0.3">
      <c r="A430" s="3" t="s">
        <v>449</v>
      </c>
      <c r="B430" s="3" t="s">
        <v>1023</v>
      </c>
      <c r="C430" s="3" t="s">
        <v>12</v>
      </c>
      <c r="D430" s="13">
        <v>45947</v>
      </c>
      <c r="E430" s="13">
        <v>45949</v>
      </c>
      <c r="F430" s="13">
        <v>45954</v>
      </c>
      <c r="G430" s="13">
        <v>45960</v>
      </c>
      <c r="H430" s="3" t="s">
        <v>13</v>
      </c>
      <c r="J430" s="4">
        <v>45984</v>
      </c>
      <c r="K430" s="3">
        <v>8</v>
      </c>
      <c r="L430" s="18">
        <f t="shared" si="28"/>
        <v>2</v>
      </c>
      <c r="M430">
        <f t="shared" si="25"/>
        <v>5</v>
      </c>
      <c r="N430">
        <f t="shared" si="26"/>
        <v>6</v>
      </c>
      <c r="O430" t="str">
        <f t="shared" si="27"/>
        <v>Passive</v>
      </c>
    </row>
    <row r="431" spans="1:15" ht="14.25" customHeight="1" x14ac:dyDescent="0.3">
      <c r="A431" s="3" t="s">
        <v>450</v>
      </c>
      <c r="B431" s="3" t="s">
        <v>1021</v>
      </c>
      <c r="C431" s="3" t="s">
        <v>24</v>
      </c>
      <c r="D431" s="13">
        <v>45953</v>
      </c>
      <c r="E431" s="13">
        <v>45958</v>
      </c>
      <c r="F431" s="13">
        <v>45960</v>
      </c>
      <c r="G431" s="13">
        <v>45967</v>
      </c>
      <c r="H431" s="3" t="s">
        <v>13</v>
      </c>
      <c r="J431" s="4">
        <v>45987</v>
      </c>
      <c r="K431" s="3">
        <v>6</v>
      </c>
      <c r="L431" s="18">
        <f t="shared" si="28"/>
        <v>5</v>
      </c>
      <c r="M431">
        <f t="shared" si="25"/>
        <v>2</v>
      </c>
      <c r="N431">
        <f t="shared" si="26"/>
        <v>7</v>
      </c>
      <c r="O431" t="str">
        <f t="shared" si="27"/>
        <v>Detractor</v>
      </c>
    </row>
    <row r="432" spans="1:15" ht="14.25" customHeight="1" x14ac:dyDescent="0.3">
      <c r="A432" s="3" t="s">
        <v>451</v>
      </c>
      <c r="B432" s="3" t="s">
        <v>1022</v>
      </c>
      <c r="C432" s="3" t="s">
        <v>24</v>
      </c>
      <c r="D432" s="13">
        <v>45939</v>
      </c>
      <c r="E432" s="13">
        <v>45941</v>
      </c>
      <c r="F432" s="13">
        <v>45945</v>
      </c>
      <c r="G432" s="13">
        <v>45950</v>
      </c>
      <c r="H432" s="3" t="s">
        <v>13</v>
      </c>
      <c r="J432" s="4">
        <v>45968</v>
      </c>
      <c r="K432" s="3">
        <v>10</v>
      </c>
      <c r="L432" s="18">
        <f t="shared" si="28"/>
        <v>2</v>
      </c>
      <c r="M432">
        <f t="shared" si="25"/>
        <v>4</v>
      </c>
      <c r="N432">
        <f t="shared" si="26"/>
        <v>5</v>
      </c>
      <c r="O432" t="str">
        <f t="shared" si="27"/>
        <v>Promoter</v>
      </c>
    </row>
    <row r="433" spans="1:15" ht="14.25" customHeight="1" x14ac:dyDescent="0.3">
      <c r="A433" s="3" t="s">
        <v>452</v>
      </c>
      <c r="B433" s="3" t="s">
        <v>1024</v>
      </c>
      <c r="C433" s="3" t="s">
        <v>24</v>
      </c>
      <c r="D433" s="13">
        <v>45944</v>
      </c>
      <c r="E433" s="13">
        <v>45947</v>
      </c>
      <c r="F433" s="13">
        <v>45950</v>
      </c>
      <c r="G433" s="13">
        <v>45954</v>
      </c>
      <c r="H433" s="3" t="s">
        <v>13</v>
      </c>
      <c r="J433" s="4">
        <v>45977</v>
      </c>
      <c r="K433" s="3">
        <v>4</v>
      </c>
      <c r="L433" s="18">
        <f t="shared" si="28"/>
        <v>3</v>
      </c>
      <c r="M433">
        <f t="shared" si="25"/>
        <v>3</v>
      </c>
      <c r="N433">
        <f t="shared" si="26"/>
        <v>4</v>
      </c>
      <c r="O433" t="str">
        <f t="shared" si="27"/>
        <v>Detractor</v>
      </c>
    </row>
    <row r="434" spans="1:15" ht="14.25" customHeight="1" x14ac:dyDescent="0.3">
      <c r="A434" s="3" t="s">
        <v>453</v>
      </c>
      <c r="B434" s="3" t="s">
        <v>1023</v>
      </c>
      <c r="C434" s="3" t="s">
        <v>16</v>
      </c>
      <c r="D434" s="13">
        <v>45957</v>
      </c>
      <c r="H434" s="3" t="s">
        <v>17</v>
      </c>
      <c r="I434" s="3" t="s">
        <v>18</v>
      </c>
      <c r="M434">
        <f t="shared" si="25"/>
        <v>0</v>
      </c>
      <c r="N434">
        <f t="shared" si="26"/>
        <v>0</v>
      </c>
      <c r="O434" t="str">
        <f t="shared" si="27"/>
        <v>Detractor</v>
      </c>
    </row>
    <row r="435" spans="1:15" ht="14.25" customHeight="1" x14ac:dyDescent="0.3">
      <c r="A435" s="3" t="s">
        <v>454</v>
      </c>
      <c r="B435" s="3" t="s">
        <v>1023</v>
      </c>
      <c r="C435" s="3" t="s">
        <v>12</v>
      </c>
      <c r="D435" s="13">
        <v>45946</v>
      </c>
      <c r="E435" s="13">
        <v>45947</v>
      </c>
      <c r="F435" s="13">
        <v>45950</v>
      </c>
      <c r="G435" s="13">
        <v>45955</v>
      </c>
      <c r="H435" s="3" t="s">
        <v>13</v>
      </c>
      <c r="J435" s="4">
        <v>45984</v>
      </c>
      <c r="K435" s="3">
        <v>1</v>
      </c>
      <c r="L435" s="18">
        <f t="shared" si="28"/>
        <v>1</v>
      </c>
      <c r="M435">
        <f t="shared" si="25"/>
        <v>3</v>
      </c>
      <c r="N435">
        <f t="shared" si="26"/>
        <v>5</v>
      </c>
      <c r="O435" t="str">
        <f t="shared" si="27"/>
        <v>Detractor</v>
      </c>
    </row>
    <row r="436" spans="1:15" ht="14.25" customHeight="1" x14ac:dyDescent="0.3">
      <c r="A436" s="3" t="s">
        <v>455</v>
      </c>
      <c r="B436" s="3" t="s">
        <v>1021</v>
      </c>
      <c r="C436" s="3" t="s">
        <v>24</v>
      </c>
      <c r="D436" s="13">
        <v>45946</v>
      </c>
      <c r="E436" s="13">
        <v>45950</v>
      </c>
      <c r="F436" s="13">
        <v>45951</v>
      </c>
      <c r="G436" s="13">
        <v>45955</v>
      </c>
      <c r="H436" s="3" t="s">
        <v>13</v>
      </c>
      <c r="J436" s="4">
        <v>45985</v>
      </c>
      <c r="K436" s="3">
        <v>3</v>
      </c>
      <c r="L436" s="18">
        <f t="shared" si="28"/>
        <v>4</v>
      </c>
      <c r="M436">
        <f t="shared" si="25"/>
        <v>1</v>
      </c>
      <c r="N436">
        <f t="shared" si="26"/>
        <v>4</v>
      </c>
      <c r="O436" t="str">
        <f t="shared" si="27"/>
        <v>Detractor</v>
      </c>
    </row>
    <row r="437" spans="1:15" ht="14.25" customHeight="1" x14ac:dyDescent="0.3">
      <c r="A437" s="3" t="s">
        <v>456</v>
      </c>
      <c r="B437" s="3" t="s">
        <v>1024</v>
      </c>
      <c r="C437" s="3" t="s">
        <v>24</v>
      </c>
      <c r="D437" s="13">
        <v>45938</v>
      </c>
      <c r="E437" s="13">
        <v>45941</v>
      </c>
      <c r="F437" s="13">
        <v>45946</v>
      </c>
      <c r="G437" s="13">
        <v>45949</v>
      </c>
      <c r="H437" s="3" t="s">
        <v>13</v>
      </c>
      <c r="J437" s="4">
        <v>45961</v>
      </c>
      <c r="K437" s="3">
        <v>7</v>
      </c>
      <c r="L437" s="18">
        <f t="shared" si="28"/>
        <v>3</v>
      </c>
      <c r="M437">
        <f t="shared" si="25"/>
        <v>5</v>
      </c>
      <c r="N437">
        <f t="shared" si="26"/>
        <v>3</v>
      </c>
      <c r="O437" t="str">
        <f t="shared" si="27"/>
        <v>Passive</v>
      </c>
    </row>
    <row r="438" spans="1:15" ht="14.25" customHeight="1" x14ac:dyDescent="0.3">
      <c r="A438" s="3" t="s">
        <v>457</v>
      </c>
      <c r="B438" s="3" t="s">
        <v>1024</v>
      </c>
      <c r="C438" s="3" t="s">
        <v>12</v>
      </c>
      <c r="D438" s="13">
        <v>45945</v>
      </c>
      <c r="E438" s="13">
        <v>45950</v>
      </c>
      <c r="F438" s="13">
        <v>45955</v>
      </c>
      <c r="G438" s="13">
        <v>45958</v>
      </c>
      <c r="H438" s="3" t="s">
        <v>13</v>
      </c>
      <c r="J438" s="4">
        <v>45974</v>
      </c>
      <c r="K438" s="3">
        <v>3</v>
      </c>
      <c r="L438" s="18">
        <f t="shared" si="28"/>
        <v>5</v>
      </c>
      <c r="M438">
        <f t="shared" si="25"/>
        <v>5</v>
      </c>
      <c r="N438">
        <f t="shared" si="26"/>
        <v>3</v>
      </c>
      <c r="O438" t="str">
        <f t="shared" si="27"/>
        <v>Detractor</v>
      </c>
    </row>
    <row r="439" spans="1:15" ht="14.25" customHeight="1" x14ac:dyDescent="0.3">
      <c r="A439" s="3" t="s">
        <v>458</v>
      </c>
      <c r="B439" s="3" t="s">
        <v>1022</v>
      </c>
      <c r="C439" s="3" t="s">
        <v>24</v>
      </c>
      <c r="D439" s="13">
        <v>45948</v>
      </c>
      <c r="E439" s="13">
        <v>45949</v>
      </c>
      <c r="F439" s="13">
        <v>45951</v>
      </c>
      <c r="G439" s="13">
        <v>45955</v>
      </c>
      <c r="H439" s="3" t="s">
        <v>13</v>
      </c>
      <c r="J439" s="4">
        <v>45979</v>
      </c>
      <c r="K439" s="3">
        <v>8</v>
      </c>
      <c r="L439" s="18">
        <f t="shared" si="28"/>
        <v>1</v>
      </c>
      <c r="M439">
        <f t="shared" si="25"/>
        <v>2</v>
      </c>
      <c r="N439">
        <f t="shared" si="26"/>
        <v>4</v>
      </c>
      <c r="O439" t="str">
        <f t="shared" si="27"/>
        <v>Passive</v>
      </c>
    </row>
    <row r="440" spans="1:15" ht="14.25" customHeight="1" x14ac:dyDescent="0.3">
      <c r="A440" s="3" t="s">
        <v>459</v>
      </c>
      <c r="B440" s="3" t="s">
        <v>1024</v>
      </c>
      <c r="C440" s="3" t="s">
        <v>24</v>
      </c>
      <c r="D440" s="13">
        <v>45935</v>
      </c>
      <c r="E440" s="13">
        <v>45940</v>
      </c>
      <c r="F440" s="13">
        <v>45944</v>
      </c>
      <c r="G440" s="13">
        <v>45951</v>
      </c>
      <c r="H440" s="3" t="s">
        <v>13</v>
      </c>
      <c r="J440" s="4">
        <v>45967</v>
      </c>
      <c r="K440" s="3">
        <v>7</v>
      </c>
      <c r="L440" s="18">
        <f t="shared" si="28"/>
        <v>5</v>
      </c>
      <c r="M440">
        <f t="shared" si="25"/>
        <v>4</v>
      </c>
      <c r="N440">
        <f t="shared" si="26"/>
        <v>7</v>
      </c>
      <c r="O440" t="str">
        <f t="shared" si="27"/>
        <v>Passive</v>
      </c>
    </row>
    <row r="441" spans="1:15" ht="14.25" customHeight="1" x14ac:dyDescent="0.3">
      <c r="A441" s="3" t="s">
        <v>460</v>
      </c>
      <c r="B441" s="3" t="s">
        <v>1024</v>
      </c>
      <c r="C441" s="3" t="s">
        <v>16</v>
      </c>
      <c r="D441" s="13">
        <v>45943</v>
      </c>
      <c r="H441" s="3" t="s">
        <v>17</v>
      </c>
      <c r="I441" s="3" t="s">
        <v>94</v>
      </c>
      <c r="M441">
        <f t="shared" si="25"/>
        <v>0</v>
      </c>
      <c r="N441">
        <f t="shared" si="26"/>
        <v>0</v>
      </c>
      <c r="O441" t="str">
        <f t="shared" si="27"/>
        <v>Detractor</v>
      </c>
    </row>
    <row r="442" spans="1:15" ht="14.25" customHeight="1" x14ac:dyDescent="0.3">
      <c r="A442" s="3" t="s">
        <v>461</v>
      </c>
      <c r="B442" s="3" t="s">
        <v>1021</v>
      </c>
      <c r="C442" s="3" t="s">
        <v>24</v>
      </c>
      <c r="D442" s="13">
        <v>45937</v>
      </c>
      <c r="E442" s="13">
        <v>45938</v>
      </c>
      <c r="F442" s="13">
        <v>45943</v>
      </c>
      <c r="G442" s="13">
        <v>45945</v>
      </c>
      <c r="H442" s="3" t="s">
        <v>13</v>
      </c>
      <c r="J442" s="4">
        <v>45968</v>
      </c>
      <c r="K442" s="3">
        <v>1</v>
      </c>
      <c r="L442" s="18">
        <f t="shared" si="28"/>
        <v>1</v>
      </c>
      <c r="M442">
        <f t="shared" si="25"/>
        <v>5</v>
      </c>
      <c r="N442">
        <f t="shared" si="26"/>
        <v>2</v>
      </c>
      <c r="O442" t="str">
        <f t="shared" si="27"/>
        <v>Detractor</v>
      </c>
    </row>
    <row r="443" spans="1:15" ht="14.25" customHeight="1" x14ac:dyDescent="0.3">
      <c r="A443" s="3" t="s">
        <v>462</v>
      </c>
      <c r="B443" s="3" t="s">
        <v>1024</v>
      </c>
      <c r="C443" s="3" t="s">
        <v>12</v>
      </c>
      <c r="D443" s="13">
        <v>45960</v>
      </c>
      <c r="E443" s="13">
        <v>45963</v>
      </c>
      <c r="F443" s="13">
        <v>45967</v>
      </c>
      <c r="G443" s="13">
        <v>45970</v>
      </c>
      <c r="H443" s="3" t="s">
        <v>13</v>
      </c>
      <c r="J443" s="4">
        <v>45995</v>
      </c>
      <c r="K443" s="3">
        <v>8</v>
      </c>
      <c r="L443" s="18">
        <f t="shared" si="28"/>
        <v>3</v>
      </c>
      <c r="M443">
        <f t="shared" si="25"/>
        <v>4</v>
      </c>
      <c r="N443">
        <f t="shared" si="26"/>
        <v>3</v>
      </c>
      <c r="O443" t="str">
        <f t="shared" si="27"/>
        <v>Passive</v>
      </c>
    </row>
    <row r="444" spans="1:15" ht="14.25" customHeight="1" x14ac:dyDescent="0.3">
      <c r="A444" s="3" t="s">
        <v>463</v>
      </c>
      <c r="B444" s="3" t="s">
        <v>1023</v>
      </c>
      <c r="C444" s="3" t="s">
        <v>16</v>
      </c>
      <c r="D444" s="13">
        <v>45950</v>
      </c>
      <c r="H444" s="3" t="s">
        <v>17</v>
      </c>
      <c r="I444" s="3" t="s">
        <v>26</v>
      </c>
      <c r="M444">
        <f t="shared" si="25"/>
        <v>0</v>
      </c>
      <c r="N444">
        <f t="shared" si="26"/>
        <v>0</v>
      </c>
      <c r="O444" t="str">
        <f t="shared" si="27"/>
        <v>Detractor</v>
      </c>
    </row>
    <row r="445" spans="1:15" ht="14.25" customHeight="1" x14ac:dyDescent="0.3">
      <c r="A445" s="3" t="s">
        <v>464</v>
      </c>
      <c r="B445" s="3" t="s">
        <v>1021</v>
      </c>
      <c r="C445" s="3" t="s">
        <v>12</v>
      </c>
      <c r="D445" s="13">
        <v>45947</v>
      </c>
      <c r="E445" s="13">
        <v>45948</v>
      </c>
      <c r="F445" s="13">
        <v>45949</v>
      </c>
      <c r="G445" s="13">
        <v>45955</v>
      </c>
      <c r="H445" s="3" t="s">
        <v>13</v>
      </c>
      <c r="J445" s="4">
        <v>45981</v>
      </c>
      <c r="K445" s="3">
        <v>6</v>
      </c>
      <c r="L445" s="18">
        <f t="shared" si="28"/>
        <v>1</v>
      </c>
      <c r="M445">
        <f t="shared" si="25"/>
        <v>1</v>
      </c>
      <c r="N445">
        <f t="shared" si="26"/>
        <v>6</v>
      </c>
      <c r="O445" t="str">
        <f t="shared" si="27"/>
        <v>Detractor</v>
      </c>
    </row>
    <row r="446" spans="1:15" ht="14.25" customHeight="1" x14ac:dyDescent="0.3">
      <c r="A446" s="3" t="s">
        <v>465</v>
      </c>
      <c r="B446" s="3" t="s">
        <v>1021</v>
      </c>
      <c r="C446" s="3" t="s">
        <v>24</v>
      </c>
      <c r="D446" s="13">
        <v>45954</v>
      </c>
      <c r="E446" s="13">
        <v>45956</v>
      </c>
      <c r="F446" s="13">
        <v>45959</v>
      </c>
      <c r="G446" s="13">
        <v>45965</v>
      </c>
      <c r="H446" s="3" t="s">
        <v>17</v>
      </c>
      <c r="I446" s="3" t="s">
        <v>18</v>
      </c>
      <c r="L446" s="18">
        <f t="shared" si="28"/>
        <v>2</v>
      </c>
      <c r="M446">
        <f t="shared" si="25"/>
        <v>3</v>
      </c>
      <c r="N446">
        <f t="shared" si="26"/>
        <v>6</v>
      </c>
      <c r="O446" t="str">
        <f t="shared" si="27"/>
        <v>Detractor</v>
      </c>
    </row>
    <row r="447" spans="1:15" ht="14.25" customHeight="1" x14ac:dyDescent="0.3">
      <c r="A447" s="3" t="s">
        <v>466</v>
      </c>
      <c r="B447" s="3" t="s">
        <v>1022</v>
      </c>
      <c r="C447" s="3" t="s">
        <v>24</v>
      </c>
      <c r="D447" s="13">
        <v>45959</v>
      </c>
      <c r="E447" s="13">
        <v>45962</v>
      </c>
      <c r="F447" s="13">
        <v>45966</v>
      </c>
      <c r="G447" s="13">
        <v>45972</v>
      </c>
      <c r="H447" s="3" t="s">
        <v>13</v>
      </c>
      <c r="J447" s="4">
        <v>45993</v>
      </c>
      <c r="K447" s="3">
        <v>3</v>
      </c>
      <c r="L447" s="18">
        <f t="shared" si="28"/>
        <v>3</v>
      </c>
      <c r="M447">
        <f t="shared" si="25"/>
        <v>4</v>
      </c>
      <c r="N447">
        <f t="shared" si="26"/>
        <v>6</v>
      </c>
      <c r="O447" t="str">
        <f t="shared" si="27"/>
        <v>Detractor</v>
      </c>
    </row>
    <row r="448" spans="1:15" ht="14.25" customHeight="1" x14ac:dyDescent="0.3">
      <c r="A448" s="3" t="s">
        <v>467</v>
      </c>
      <c r="B448" s="3" t="s">
        <v>1024</v>
      </c>
      <c r="C448" s="3" t="s">
        <v>16</v>
      </c>
      <c r="D448" s="13">
        <v>45935</v>
      </c>
      <c r="H448" s="3" t="s">
        <v>17</v>
      </c>
      <c r="I448" s="3" t="s">
        <v>94</v>
      </c>
      <c r="M448">
        <f t="shared" si="25"/>
        <v>0</v>
      </c>
      <c r="N448">
        <f t="shared" si="26"/>
        <v>0</v>
      </c>
      <c r="O448" t="str">
        <f t="shared" si="27"/>
        <v>Detractor</v>
      </c>
    </row>
    <row r="449" spans="1:15" ht="14.25" customHeight="1" x14ac:dyDescent="0.3">
      <c r="A449" s="3" t="s">
        <v>468</v>
      </c>
      <c r="B449" s="3" t="s">
        <v>1022</v>
      </c>
      <c r="C449" s="3" t="s">
        <v>16</v>
      </c>
      <c r="D449" s="13">
        <v>45958</v>
      </c>
      <c r="H449" s="3" t="s">
        <v>17</v>
      </c>
      <c r="I449" s="3" t="s">
        <v>20</v>
      </c>
      <c r="M449">
        <f t="shared" si="25"/>
        <v>0</v>
      </c>
      <c r="N449">
        <f t="shared" si="26"/>
        <v>0</v>
      </c>
      <c r="O449" t="str">
        <f t="shared" si="27"/>
        <v>Detractor</v>
      </c>
    </row>
    <row r="450" spans="1:15" ht="14.25" customHeight="1" x14ac:dyDescent="0.3">
      <c r="A450" s="3" t="s">
        <v>469</v>
      </c>
      <c r="B450" s="3" t="s">
        <v>1023</v>
      </c>
      <c r="C450" s="3" t="s">
        <v>12</v>
      </c>
      <c r="D450" s="13">
        <v>45933</v>
      </c>
      <c r="E450" s="13">
        <v>45937</v>
      </c>
      <c r="F450" s="13">
        <v>45942</v>
      </c>
      <c r="G450" s="13">
        <v>45949</v>
      </c>
      <c r="H450" s="3" t="s">
        <v>13</v>
      </c>
      <c r="J450" s="4">
        <v>45960</v>
      </c>
      <c r="K450" s="3">
        <v>3</v>
      </c>
      <c r="L450" s="18">
        <f t="shared" si="28"/>
        <v>4</v>
      </c>
      <c r="M450">
        <f t="shared" si="25"/>
        <v>5</v>
      </c>
      <c r="N450">
        <f t="shared" si="26"/>
        <v>7</v>
      </c>
      <c r="O450" t="str">
        <f t="shared" si="27"/>
        <v>Detractor</v>
      </c>
    </row>
    <row r="451" spans="1:15" ht="14.25" customHeight="1" x14ac:dyDescent="0.3">
      <c r="A451" s="3" t="s">
        <v>470</v>
      </c>
      <c r="B451" s="3" t="s">
        <v>1021</v>
      </c>
      <c r="C451" s="3" t="s">
        <v>24</v>
      </c>
      <c r="D451" s="13">
        <v>45939</v>
      </c>
      <c r="E451" s="13">
        <v>45944</v>
      </c>
      <c r="F451" s="13">
        <v>45947</v>
      </c>
      <c r="G451" s="13">
        <v>45953</v>
      </c>
      <c r="H451" s="3" t="s">
        <v>13</v>
      </c>
      <c r="J451" s="4">
        <v>45979</v>
      </c>
      <c r="K451" s="3">
        <v>3</v>
      </c>
      <c r="L451" s="18">
        <f t="shared" ref="L451:L513" si="29">E451-D451</f>
        <v>5</v>
      </c>
      <c r="M451">
        <f t="shared" ref="M451:M514" si="30">F451-E451</f>
        <v>3</v>
      </c>
      <c r="N451">
        <f t="shared" ref="N451:N514" si="31">G451-F451</f>
        <v>6</v>
      </c>
      <c r="O451" t="str">
        <f t="shared" ref="O451:O514" si="32">IF(K451&gt;=9,"Promoter",IF(K451&lt;=6,"Detractor","Passive"))</f>
        <v>Detractor</v>
      </c>
    </row>
    <row r="452" spans="1:15" ht="14.25" customHeight="1" x14ac:dyDescent="0.3">
      <c r="A452" s="3" t="s">
        <v>471</v>
      </c>
      <c r="B452" s="3" t="s">
        <v>1021</v>
      </c>
      <c r="C452" s="3" t="s">
        <v>12</v>
      </c>
      <c r="D452" s="13">
        <v>45955</v>
      </c>
      <c r="E452" s="13">
        <v>45957</v>
      </c>
      <c r="F452" s="13">
        <v>45961</v>
      </c>
      <c r="G452" s="13">
        <v>45965</v>
      </c>
      <c r="H452" s="3" t="s">
        <v>13</v>
      </c>
      <c r="J452" s="4">
        <v>45980</v>
      </c>
      <c r="K452" s="3">
        <v>0</v>
      </c>
      <c r="L452" s="18">
        <f t="shared" si="29"/>
        <v>2</v>
      </c>
      <c r="M452">
        <f t="shared" si="30"/>
        <v>4</v>
      </c>
      <c r="N452">
        <f t="shared" si="31"/>
        <v>4</v>
      </c>
      <c r="O452" t="str">
        <f t="shared" si="32"/>
        <v>Detractor</v>
      </c>
    </row>
    <row r="453" spans="1:15" ht="14.25" customHeight="1" x14ac:dyDescent="0.3">
      <c r="A453" s="3" t="s">
        <v>472</v>
      </c>
      <c r="B453" s="3" t="s">
        <v>1021</v>
      </c>
      <c r="C453" s="3" t="s">
        <v>16</v>
      </c>
      <c r="D453" s="13">
        <v>45956</v>
      </c>
      <c r="H453" s="3" t="s">
        <v>17</v>
      </c>
      <c r="I453" s="3" t="s">
        <v>18</v>
      </c>
      <c r="M453">
        <f t="shared" si="30"/>
        <v>0</v>
      </c>
      <c r="N453">
        <f t="shared" si="31"/>
        <v>0</v>
      </c>
      <c r="O453" t="str">
        <f t="shared" si="32"/>
        <v>Detractor</v>
      </c>
    </row>
    <row r="454" spans="1:15" ht="14.25" customHeight="1" x14ac:dyDescent="0.3">
      <c r="A454" s="3" t="s">
        <v>473</v>
      </c>
      <c r="B454" s="3" t="s">
        <v>1023</v>
      </c>
      <c r="C454" s="3" t="s">
        <v>12</v>
      </c>
      <c r="D454" s="13">
        <v>45958</v>
      </c>
      <c r="E454" s="13">
        <v>45962</v>
      </c>
      <c r="F454" s="13">
        <v>45966</v>
      </c>
      <c r="G454" s="13">
        <v>45973</v>
      </c>
      <c r="H454" s="3" t="s">
        <v>13</v>
      </c>
      <c r="J454" s="4">
        <v>45985</v>
      </c>
      <c r="K454" s="3">
        <v>4</v>
      </c>
      <c r="L454" s="18">
        <f t="shared" si="29"/>
        <v>4</v>
      </c>
      <c r="M454">
        <f t="shared" si="30"/>
        <v>4</v>
      </c>
      <c r="N454">
        <f t="shared" si="31"/>
        <v>7</v>
      </c>
      <c r="O454" t="str">
        <f t="shared" si="32"/>
        <v>Detractor</v>
      </c>
    </row>
    <row r="455" spans="1:15" ht="14.25" customHeight="1" x14ac:dyDescent="0.3">
      <c r="A455" s="3" t="s">
        <v>474</v>
      </c>
      <c r="B455" s="3" t="s">
        <v>1023</v>
      </c>
      <c r="C455" s="3" t="s">
        <v>16</v>
      </c>
      <c r="D455" s="13">
        <v>45944</v>
      </c>
      <c r="H455" s="3" t="s">
        <v>17</v>
      </c>
      <c r="I455" s="3" t="s">
        <v>18</v>
      </c>
      <c r="M455">
        <f t="shared" si="30"/>
        <v>0</v>
      </c>
      <c r="N455">
        <f t="shared" si="31"/>
        <v>0</v>
      </c>
      <c r="O455" t="str">
        <f t="shared" si="32"/>
        <v>Detractor</v>
      </c>
    </row>
    <row r="456" spans="1:15" ht="14.25" customHeight="1" x14ac:dyDescent="0.3">
      <c r="A456" s="3" t="s">
        <v>475</v>
      </c>
      <c r="B456" s="3" t="s">
        <v>1022</v>
      </c>
      <c r="C456" s="3" t="s">
        <v>16</v>
      </c>
      <c r="D456" s="13">
        <v>45941</v>
      </c>
      <c r="H456" s="3" t="s">
        <v>17</v>
      </c>
      <c r="I456" s="3" t="s">
        <v>26</v>
      </c>
      <c r="M456">
        <f t="shared" si="30"/>
        <v>0</v>
      </c>
      <c r="N456">
        <f t="shared" si="31"/>
        <v>0</v>
      </c>
      <c r="O456" t="str">
        <f t="shared" si="32"/>
        <v>Detractor</v>
      </c>
    </row>
    <row r="457" spans="1:15" ht="14.25" customHeight="1" x14ac:dyDescent="0.3">
      <c r="A457" s="3" t="s">
        <v>476</v>
      </c>
      <c r="B457" s="3" t="s">
        <v>1022</v>
      </c>
      <c r="C457" s="3" t="s">
        <v>12</v>
      </c>
      <c r="D457" s="13">
        <v>45960</v>
      </c>
      <c r="E457" s="13">
        <v>45961</v>
      </c>
      <c r="F457" s="13">
        <v>45963</v>
      </c>
      <c r="G457" s="13">
        <v>45965</v>
      </c>
      <c r="H457" s="3" t="s">
        <v>13</v>
      </c>
      <c r="J457" s="4">
        <v>45984</v>
      </c>
      <c r="K457" s="3">
        <v>9</v>
      </c>
      <c r="L457" s="18">
        <f t="shared" si="29"/>
        <v>1</v>
      </c>
      <c r="M457">
        <f t="shared" si="30"/>
        <v>2</v>
      </c>
      <c r="N457">
        <f t="shared" si="31"/>
        <v>2</v>
      </c>
      <c r="O457" t="str">
        <f t="shared" si="32"/>
        <v>Promoter</v>
      </c>
    </row>
    <row r="458" spans="1:15" ht="14.25" customHeight="1" x14ac:dyDescent="0.3">
      <c r="A458" s="3" t="s">
        <v>477</v>
      </c>
      <c r="B458" s="3" t="s">
        <v>1022</v>
      </c>
      <c r="C458" s="3" t="s">
        <v>12</v>
      </c>
      <c r="D458" s="13">
        <v>45956</v>
      </c>
      <c r="E458" s="13">
        <v>45958</v>
      </c>
      <c r="F458" s="13">
        <v>45961</v>
      </c>
      <c r="G458" s="13">
        <v>45968</v>
      </c>
      <c r="H458" s="3" t="s">
        <v>17</v>
      </c>
      <c r="I458" s="3" t="s">
        <v>56</v>
      </c>
      <c r="L458" s="18">
        <f t="shared" si="29"/>
        <v>2</v>
      </c>
      <c r="M458">
        <f t="shared" si="30"/>
        <v>3</v>
      </c>
      <c r="N458">
        <f t="shared" si="31"/>
        <v>7</v>
      </c>
      <c r="O458" t="str">
        <f t="shared" si="32"/>
        <v>Detractor</v>
      </c>
    </row>
    <row r="459" spans="1:15" ht="14.25" customHeight="1" x14ac:dyDescent="0.3">
      <c r="A459" s="3" t="s">
        <v>478</v>
      </c>
      <c r="B459" s="3" t="s">
        <v>1024</v>
      </c>
      <c r="C459" s="3" t="s">
        <v>12</v>
      </c>
      <c r="D459" s="13">
        <v>45947</v>
      </c>
      <c r="E459" s="13">
        <v>45951</v>
      </c>
      <c r="F459" s="13">
        <v>45955</v>
      </c>
      <c r="G459" s="13">
        <v>45959</v>
      </c>
      <c r="H459" s="3" t="s">
        <v>13</v>
      </c>
      <c r="J459" s="4">
        <v>45985</v>
      </c>
      <c r="K459" s="3">
        <v>5</v>
      </c>
      <c r="L459" s="18">
        <f t="shared" si="29"/>
        <v>4</v>
      </c>
      <c r="M459">
        <f t="shared" si="30"/>
        <v>4</v>
      </c>
      <c r="N459">
        <f t="shared" si="31"/>
        <v>4</v>
      </c>
      <c r="O459" t="str">
        <f t="shared" si="32"/>
        <v>Detractor</v>
      </c>
    </row>
    <row r="460" spans="1:15" ht="14.25" customHeight="1" x14ac:dyDescent="0.3">
      <c r="A460" s="3" t="s">
        <v>479</v>
      </c>
      <c r="B460" s="3" t="s">
        <v>1021</v>
      </c>
      <c r="C460" s="3" t="s">
        <v>24</v>
      </c>
      <c r="D460" s="13">
        <v>45939</v>
      </c>
      <c r="E460" s="13">
        <v>45942</v>
      </c>
      <c r="F460" s="13">
        <v>45944</v>
      </c>
      <c r="G460" s="13">
        <v>45947</v>
      </c>
      <c r="H460" s="3" t="s">
        <v>13</v>
      </c>
      <c r="J460" s="4">
        <v>45969</v>
      </c>
      <c r="K460" s="3">
        <v>5</v>
      </c>
      <c r="L460" s="18">
        <f t="shared" si="29"/>
        <v>3</v>
      </c>
      <c r="M460">
        <f t="shared" si="30"/>
        <v>2</v>
      </c>
      <c r="N460">
        <f t="shared" si="31"/>
        <v>3</v>
      </c>
      <c r="O460" t="str">
        <f t="shared" si="32"/>
        <v>Detractor</v>
      </c>
    </row>
    <row r="461" spans="1:15" ht="14.25" customHeight="1" x14ac:dyDescent="0.3">
      <c r="A461" s="3" t="s">
        <v>480</v>
      </c>
      <c r="B461" s="3" t="s">
        <v>1021</v>
      </c>
      <c r="C461" s="3" t="s">
        <v>12</v>
      </c>
      <c r="D461" s="13">
        <v>45957</v>
      </c>
      <c r="E461" s="13">
        <v>45958</v>
      </c>
      <c r="F461" s="13">
        <v>45963</v>
      </c>
      <c r="G461" s="13">
        <v>45969</v>
      </c>
      <c r="H461" s="3" t="s">
        <v>13</v>
      </c>
      <c r="J461" s="4">
        <v>45983</v>
      </c>
      <c r="K461" s="3">
        <v>1</v>
      </c>
      <c r="L461" s="18">
        <f t="shared" si="29"/>
        <v>1</v>
      </c>
      <c r="M461">
        <f t="shared" si="30"/>
        <v>5</v>
      </c>
      <c r="N461">
        <f t="shared" si="31"/>
        <v>6</v>
      </c>
      <c r="O461" t="str">
        <f t="shared" si="32"/>
        <v>Detractor</v>
      </c>
    </row>
    <row r="462" spans="1:15" ht="14.25" customHeight="1" x14ac:dyDescent="0.3">
      <c r="A462" s="3" t="s">
        <v>481</v>
      </c>
      <c r="B462" s="3" t="s">
        <v>1022</v>
      </c>
      <c r="C462" s="3" t="s">
        <v>12</v>
      </c>
      <c r="D462" s="13">
        <v>45931</v>
      </c>
      <c r="E462" s="13">
        <v>45935</v>
      </c>
      <c r="F462" s="13">
        <v>45939</v>
      </c>
      <c r="G462" s="13">
        <v>45945</v>
      </c>
      <c r="H462" s="3" t="s">
        <v>17</v>
      </c>
      <c r="I462" s="3" t="s">
        <v>56</v>
      </c>
      <c r="L462" s="18">
        <f t="shared" si="29"/>
        <v>4</v>
      </c>
      <c r="M462">
        <f t="shared" si="30"/>
        <v>4</v>
      </c>
      <c r="N462">
        <f t="shared" si="31"/>
        <v>6</v>
      </c>
      <c r="O462" t="str">
        <f t="shared" si="32"/>
        <v>Detractor</v>
      </c>
    </row>
    <row r="463" spans="1:15" ht="14.25" customHeight="1" x14ac:dyDescent="0.3">
      <c r="A463" s="3" t="s">
        <v>482</v>
      </c>
      <c r="B463" s="3" t="s">
        <v>1021</v>
      </c>
      <c r="C463" s="3" t="s">
        <v>16</v>
      </c>
      <c r="D463" s="13">
        <v>45940</v>
      </c>
      <c r="H463" s="3" t="s">
        <v>17</v>
      </c>
      <c r="I463" s="3" t="s">
        <v>26</v>
      </c>
      <c r="M463">
        <f t="shared" si="30"/>
        <v>0</v>
      </c>
      <c r="N463">
        <f t="shared" si="31"/>
        <v>0</v>
      </c>
      <c r="O463" t="str">
        <f t="shared" si="32"/>
        <v>Detractor</v>
      </c>
    </row>
    <row r="464" spans="1:15" ht="14.25" customHeight="1" x14ac:dyDescent="0.3">
      <c r="A464" s="3" t="s">
        <v>483</v>
      </c>
      <c r="B464" s="3" t="s">
        <v>1022</v>
      </c>
      <c r="C464" s="3" t="s">
        <v>16</v>
      </c>
      <c r="D464" s="13">
        <v>45954</v>
      </c>
      <c r="H464" s="3" t="s">
        <v>17</v>
      </c>
      <c r="I464" s="3" t="s">
        <v>26</v>
      </c>
      <c r="M464">
        <f t="shared" si="30"/>
        <v>0</v>
      </c>
      <c r="N464">
        <f t="shared" si="31"/>
        <v>0</v>
      </c>
      <c r="O464" t="str">
        <f t="shared" si="32"/>
        <v>Detractor</v>
      </c>
    </row>
    <row r="465" spans="1:15" ht="14.25" customHeight="1" x14ac:dyDescent="0.3">
      <c r="A465" s="3" t="s">
        <v>484</v>
      </c>
      <c r="B465" s="3" t="s">
        <v>1024</v>
      </c>
      <c r="C465" s="3" t="s">
        <v>12</v>
      </c>
      <c r="D465" s="13">
        <v>45940</v>
      </c>
      <c r="E465" s="13">
        <v>45941</v>
      </c>
      <c r="F465" s="13">
        <v>45943</v>
      </c>
      <c r="G465" s="13">
        <v>45949</v>
      </c>
      <c r="H465" s="3" t="s">
        <v>13</v>
      </c>
      <c r="J465" s="4">
        <v>45975</v>
      </c>
      <c r="K465" s="3">
        <v>1</v>
      </c>
      <c r="L465" s="18">
        <f t="shared" si="29"/>
        <v>1</v>
      </c>
      <c r="M465">
        <f t="shared" si="30"/>
        <v>2</v>
      </c>
      <c r="N465">
        <f t="shared" si="31"/>
        <v>6</v>
      </c>
      <c r="O465" t="str">
        <f t="shared" si="32"/>
        <v>Detractor</v>
      </c>
    </row>
    <row r="466" spans="1:15" ht="14.25" customHeight="1" x14ac:dyDescent="0.3">
      <c r="A466" s="3" t="s">
        <v>485</v>
      </c>
      <c r="B466" s="3" t="s">
        <v>1024</v>
      </c>
      <c r="C466" s="3" t="s">
        <v>24</v>
      </c>
      <c r="D466" s="13">
        <v>45957</v>
      </c>
      <c r="E466" s="13">
        <v>45961</v>
      </c>
      <c r="F466" s="13">
        <v>45963</v>
      </c>
      <c r="G466" s="13">
        <v>45966</v>
      </c>
      <c r="H466" s="3" t="s">
        <v>13</v>
      </c>
      <c r="J466" s="4">
        <v>45994</v>
      </c>
      <c r="K466" s="3">
        <v>4</v>
      </c>
      <c r="L466" s="18">
        <f t="shared" si="29"/>
        <v>4</v>
      </c>
      <c r="M466">
        <f t="shared" si="30"/>
        <v>2</v>
      </c>
      <c r="N466">
        <f t="shared" si="31"/>
        <v>3</v>
      </c>
      <c r="O466" t="str">
        <f t="shared" si="32"/>
        <v>Detractor</v>
      </c>
    </row>
    <row r="467" spans="1:15" ht="14.25" customHeight="1" x14ac:dyDescent="0.3">
      <c r="A467" s="3" t="s">
        <v>486</v>
      </c>
      <c r="B467" s="3" t="s">
        <v>1023</v>
      </c>
      <c r="C467" s="3" t="s">
        <v>24</v>
      </c>
      <c r="D467" s="13">
        <v>45949</v>
      </c>
      <c r="E467" s="13">
        <v>45954</v>
      </c>
      <c r="F467" s="13">
        <v>45957</v>
      </c>
      <c r="G467" s="13">
        <v>45964</v>
      </c>
      <c r="H467" s="3" t="s">
        <v>13</v>
      </c>
      <c r="J467" s="4">
        <v>45974</v>
      </c>
      <c r="K467" s="3">
        <v>4</v>
      </c>
      <c r="L467" s="18">
        <f t="shared" si="29"/>
        <v>5</v>
      </c>
      <c r="M467">
        <f t="shared" si="30"/>
        <v>3</v>
      </c>
      <c r="N467">
        <f t="shared" si="31"/>
        <v>7</v>
      </c>
      <c r="O467" t="str">
        <f t="shared" si="32"/>
        <v>Detractor</v>
      </c>
    </row>
    <row r="468" spans="1:15" ht="14.25" customHeight="1" x14ac:dyDescent="0.3">
      <c r="A468" s="3" t="s">
        <v>487</v>
      </c>
      <c r="B468" s="3" t="s">
        <v>1024</v>
      </c>
      <c r="C468" s="3" t="s">
        <v>24</v>
      </c>
      <c r="D468" s="13">
        <v>45949</v>
      </c>
      <c r="E468" s="13">
        <v>45952</v>
      </c>
      <c r="F468" s="13">
        <v>45954</v>
      </c>
      <c r="G468" s="13">
        <v>45959</v>
      </c>
      <c r="H468" s="3" t="s">
        <v>13</v>
      </c>
      <c r="J468" s="4">
        <v>45974</v>
      </c>
      <c r="K468" s="3">
        <v>1</v>
      </c>
      <c r="L468" s="18">
        <f t="shared" si="29"/>
        <v>3</v>
      </c>
      <c r="M468">
        <f t="shared" si="30"/>
        <v>2</v>
      </c>
      <c r="N468">
        <f t="shared" si="31"/>
        <v>5</v>
      </c>
      <c r="O468" t="str">
        <f t="shared" si="32"/>
        <v>Detractor</v>
      </c>
    </row>
    <row r="469" spans="1:15" ht="14.25" customHeight="1" x14ac:dyDescent="0.3">
      <c r="A469" s="3" t="s">
        <v>488</v>
      </c>
      <c r="B469" s="3" t="s">
        <v>1022</v>
      </c>
      <c r="C469" s="3" t="s">
        <v>12</v>
      </c>
      <c r="D469" s="13">
        <v>45952</v>
      </c>
      <c r="E469" s="13">
        <v>45954</v>
      </c>
      <c r="F469" s="13">
        <v>45958</v>
      </c>
      <c r="G469" s="13">
        <v>45962</v>
      </c>
      <c r="H469" s="3" t="s">
        <v>13</v>
      </c>
      <c r="J469" s="4">
        <v>45978</v>
      </c>
      <c r="K469" s="3">
        <v>1</v>
      </c>
      <c r="L469" s="18">
        <f t="shared" si="29"/>
        <v>2</v>
      </c>
      <c r="M469">
        <f t="shared" si="30"/>
        <v>4</v>
      </c>
      <c r="N469">
        <f t="shared" si="31"/>
        <v>4</v>
      </c>
      <c r="O469" t="str">
        <f t="shared" si="32"/>
        <v>Detractor</v>
      </c>
    </row>
    <row r="470" spans="1:15" ht="14.25" customHeight="1" x14ac:dyDescent="0.3">
      <c r="A470" s="3" t="s">
        <v>489</v>
      </c>
      <c r="B470" s="3" t="s">
        <v>1024</v>
      </c>
      <c r="C470" s="3" t="s">
        <v>12</v>
      </c>
      <c r="D470" s="13">
        <v>45946</v>
      </c>
      <c r="E470" s="13">
        <v>45950</v>
      </c>
      <c r="F470" s="13">
        <v>45951</v>
      </c>
      <c r="G470" s="13">
        <v>45958</v>
      </c>
      <c r="H470" s="3" t="s">
        <v>13</v>
      </c>
      <c r="J470" s="4">
        <v>45974</v>
      </c>
      <c r="K470" s="3">
        <v>0</v>
      </c>
      <c r="L470" s="18">
        <f t="shared" si="29"/>
        <v>4</v>
      </c>
      <c r="M470">
        <f t="shared" si="30"/>
        <v>1</v>
      </c>
      <c r="N470">
        <f t="shared" si="31"/>
        <v>7</v>
      </c>
      <c r="O470" t="str">
        <f t="shared" si="32"/>
        <v>Detractor</v>
      </c>
    </row>
    <row r="471" spans="1:15" ht="14.25" customHeight="1" x14ac:dyDescent="0.3">
      <c r="A471" s="3" t="s">
        <v>490</v>
      </c>
      <c r="B471" s="3" t="s">
        <v>1023</v>
      </c>
      <c r="C471" s="3" t="s">
        <v>16</v>
      </c>
      <c r="D471" s="13">
        <v>45958</v>
      </c>
      <c r="H471" s="3" t="s">
        <v>17</v>
      </c>
      <c r="I471" s="3" t="s">
        <v>26</v>
      </c>
      <c r="M471">
        <f t="shared" si="30"/>
        <v>0</v>
      </c>
      <c r="N471">
        <f t="shared" si="31"/>
        <v>0</v>
      </c>
      <c r="O471" t="str">
        <f t="shared" si="32"/>
        <v>Detractor</v>
      </c>
    </row>
    <row r="472" spans="1:15" ht="14.25" customHeight="1" x14ac:dyDescent="0.3">
      <c r="A472" s="3" t="s">
        <v>491</v>
      </c>
      <c r="B472" s="3" t="s">
        <v>1021</v>
      </c>
      <c r="C472" s="3" t="s">
        <v>12</v>
      </c>
      <c r="D472" s="13">
        <v>45935</v>
      </c>
      <c r="E472" s="13">
        <v>45936</v>
      </c>
      <c r="F472" s="13">
        <v>45941</v>
      </c>
      <c r="G472" s="13">
        <v>45943</v>
      </c>
      <c r="H472" s="3" t="s">
        <v>13</v>
      </c>
      <c r="J472" s="4">
        <v>45954</v>
      </c>
      <c r="K472" s="3">
        <v>7</v>
      </c>
      <c r="L472" s="18">
        <f t="shared" si="29"/>
        <v>1</v>
      </c>
      <c r="M472">
        <f t="shared" si="30"/>
        <v>5</v>
      </c>
      <c r="N472">
        <f t="shared" si="31"/>
        <v>2</v>
      </c>
      <c r="O472" t="str">
        <f t="shared" si="32"/>
        <v>Passive</v>
      </c>
    </row>
    <row r="473" spans="1:15" ht="14.25" customHeight="1" x14ac:dyDescent="0.3">
      <c r="A473" s="3" t="s">
        <v>492</v>
      </c>
      <c r="B473" s="3" t="s">
        <v>1022</v>
      </c>
      <c r="C473" s="3" t="s">
        <v>16</v>
      </c>
      <c r="D473" s="13">
        <v>45945</v>
      </c>
      <c r="H473" s="3" t="s">
        <v>17</v>
      </c>
      <c r="I473" s="3" t="s">
        <v>56</v>
      </c>
      <c r="M473">
        <f t="shared" si="30"/>
        <v>0</v>
      </c>
      <c r="N473">
        <f t="shared" si="31"/>
        <v>0</v>
      </c>
      <c r="O473" t="str">
        <f t="shared" si="32"/>
        <v>Detractor</v>
      </c>
    </row>
    <row r="474" spans="1:15" ht="14.25" customHeight="1" x14ac:dyDescent="0.3">
      <c r="A474" s="3" t="s">
        <v>493</v>
      </c>
      <c r="B474" s="3" t="s">
        <v>1021</v>
      </c>
      <c r="C474" s="3" t="s">
        <v>16</v>
      </c>
      <c r="D474" s="13">
        <v>45948</v>
      </c>
      <c r="H474" s="3" t="s">
        <v>17</v>
      </c>
      <c r="I474" s="3" t="s">
        <v>26</v>
      </c>
      <c r="M474">
        <f t="shared" si="30"/>
        <v>0</v>
      </c>
      <c r="N474">
        <f t="shared" si="31"/>
        <v>0</v>
      </c>
      <c r="O474" t="str">
        <f t="shared" si="32"/>
        <v>Detractor</v>
      </c>
    </row>
    <row r="475" spans="1:15" ht="14.25" customHeight="1" x14ac:dyDescent="0.3">
      <c r="A475" s="3" t="s">
        <v>494</v>
      </c>
      <c r="B475" s="3" t="s">
        <v>1023</v>
      </c>
      <c r="C475" s="3" t="s">
        <v>12</v>
      </c>
      <c r="D475" s="13">
        <v>45946</v>
      </c>
      <c r="E475" s="13">
        <v>45949</v>
      </c>
      <c r="F475" s="13">
        <v>45953</v>
      </c>
      <c r="G475" s="13">
        <v>45956</v>
      </c>
      <c r="H475" s="3" t="s">
        <v>13</v>
      </c>
      <c r="J475" s="4">
        <v>45973</v>
      </c>
      <c r="K475" s="3">
        <v>8</v>
      </c>
      <c r="L475" s="18">
        <f t="shared" si="29"/>
        <v>3</v>
      </c>
      <c r="M475">
        <f t="shared" si="30"/>
        <v>4</v>
      </c>
      <c r="N475">
        <f t="shared" si="31"/>
        <v>3</v>
      </c>
      <c r="O475" t="str">
        <f t="shared" si="32"/>
        <v>Passive</v>
      </c>
    </row>
    <row r="476" spans="1:15" ht="14.25" customHeight="1" x14ac:dyDescent="0.3">
      <c r="A476" s="3" t="s">
        <v>495</v>
      </c>
      <c r="B476" s="3" t="s">
        <v>1023</v>
      </c>
      <c r="C476" s="3" t="s">
        <v>16</v>
      </c>
      <c r="D476" s="13">
        <v>45942</v>
      </c>
      <c r="H476" s="3" t="s">
        <v>17</v>
      </c>
      <c r="I476" s="3" t="s">
        <v>94</v>
      </c>
      <c r="M476">
        <f t="shared" si="30"/>
        <v>0</v>
      </c>
      <c r="N476">
        <f t="shared" si="31"/>
        <v>0</v>
      </c>
      <c r="O476" t="str">
        <f t="shared" si="32"/>
        <v>Detractor</v>
      </c>
    </row>
    <row r="477" spans="1:15" ht="14.25" customHeight="1" x14ac:dyDescent="0.3">
      <c r="A477" s="3" t="s">
        <v>496</v>
      </c>
      <c r="B477" s="3" t="s">
        <v>1023</v>
      </c>
      <c r="C477" s="3" t="s">
        <v>12</v>
      </c>
      <c r="D477" s="13">
        <v>45941</v>
      </c>
      <c r="E477" s="13">
        <v>45943</v>
      </c>
      <c r="F477" s="13">
        <v>45947</v>
      </c>
      <c r="G477" s="13">
        <v>45952</v>
      </c>
      <c r="H477" s="3" t="s">
        <v>17</v>
      </c>
      <c r="I477" s="3" t="s">
        <v>18</v>
      </c>
      <c r="L477" s="18">
        <f t="shared" si="29"/>
        <v>2</v>
      </c>
      <c r="M477">
        <f t="shared" si="30"/>
        <v>4</v>
      </c>
      <c r="N477">
        <f t="shared" si="31"/>
        <v>5</v>
      </c>
      <c r="O477" t="str">
        <f t="shared" si="32"/>
        <v>Detractor</v>
      </c>
    </row>
    <row r="478" spans="1:15" ht="14.25" customHeight="1" x14ac:dyDescent="0.3">
      <c r="A478" s="3" t="s">
        <v>497</v>
      </c>
      <c r="B478" s="3" t="s">
        <v>1021</v>
      </c>
      <c r="C478" s="3" t="s">
        <v>24</v>
      </c>
      <c r="D478" s="13">
        <v>45948</v>
      </c>
      <c r="E478" s="13">
        <v>45949</v>
      </c>
      <c r="F478" s="13">
        <v>45954</v>
      </c>
      <c r="G478" s="13">
        <v>45959</v>
      </c>
      <c r="H478" s="3" t="s">
        <v>13</v>
      </c>
      <c r="J478" s="4">
        <v>45970</v>
      </c>
      <c r="K478" s="3">
        <v>2</v>
      </c>
      <c r="L478" s="18">
        <f t="shared" si="29"/>
        <v>1</v>
      </c>
      <c r="M478">
        <f t="shared" si="30"/>
        <v>5</v>
      </c>
      <c r="N478">
        <f t="shared" si="31"/>
        <v>5</v>
      </c>
      <c r="O478" t="str">
        <f t="shared" si="32"/>
        <v>Detractor</v>
      </c>
    </row>
    <row r="479" spans="1:15" ht="14.25" customHeight="1" x14ac:dyDescent="0.3">
      <c r="A479" s="3" t="s">
        <v>498</v>
      </c>
      <c r="B479" s="3" t="s">
        <v>1021</v>
      </c>
      <c r="C479" s="3" t="s">
        <v>12</v>
      </c>
      <c r="D479" s="13">
        <v>45955</v>
      </c>
      <c r="E479" s="13">
        <v>45958</v>
      </c>
      <c r="F479" s="13">
        <v>45963</v>
      </c>
      <c r="G479" s="13">
        <v>45965</v>
      </c>
      <c r="H479" s="3" t="s">
        <v>17</v>
      </c>
      <c r="I479" s="3" t="s">
        <v>18</v>
      </c>
      <c r="L479" s="18">
        <f t="shared" si="29"/>
        <v>3</v>
      </c>
      <c r="M479">
        <f t="shared" si="30"/>
        <v>5</v>
      </c>
      <c r="N479">
        <f t="shared" si="31"/>
        <v>2</v>
      </c>
      <c r="O479" t="str">
        <f t="shared" si="32"/>
        <v>Detractor</v>
      </c>
    </row>
    <row r="480" spans="1:15" ht="14.25" customHeight="1" x14ac:dyDescent="0.3">
      <c r="A480" s="3" t="s">
        <v>499</v>
      </c>
      <c r="B480" s="3" t="s">
        <v>1021</v>
      </c>
      <c r="C480" s="3" t="s">
        <v>12</v>
      </c>
      <c r="D480" s="13">
        <v>45948</v>
      </c>
      <c r="E480" s="13">
        <v>45949</v>
      </c>
      <c r="F480" s="13">
        <v>45951</v>
      </c>
      <c r="G480" s="13">
        <v>45954</v>
      </c>
      <c r="H480" s="3" t="s">
        <v>13</v>
      </c>
      <c r="J480" s="4">
        <v>45978</v>
      </c>
      <c r="K480" s="3">
        <v>7</v>
      </c>
      <c r="L480" s="18">
        <f t="shared" si="29"/>
        <v>1</v>
      </c>
      <c r="M480">
        <f t="shared" si="30"/>
        <v>2</v>
      </c>
      <c r="N480">
        <f t="shared" si="31"/>
        <v>3</v>
      </c>
      <c r="O480" t="str">
        <f t="shared" si="32"/>
        <v>Passive</v>
      </c>
    </row>
    <row r="481" spans="1:15" ht="14.25" customHeight="1" x14ac:dyDescent="0.3">
      <c r="A481" s="3" t="s">
        <v>500</v>
      </c>
      <c r="B481" s="3" t="s">
        <v>1021</v>
      </c>
      <c r="C481" s="3" t="s">
        <v>12</v>
      </c>
      <c r="D481" s="13">
        <v>45943</v>
      </c>
      <c r="E481" s="13">
        <v>45946</v>
      </c>
      <c r="F481" s="13">
        <v>45950</v>
      </c>
      <c r="G481" s="13">
        <v>45955</v>
      </c>
      <c r="H481" s="3" t="s">
        <v>17</v>
      </c>
      <c r="I481" s="3" t="s">
        <v>20</v>
      </c>
      <c r="L481" s="18">
        <f t="shared" si="29"/>
        <v>3</v>
      </c>
      <c r="M481">
        <f t="shared" si="30"/>
        <v>4</v>
      </c>
      <c r="N481">
        <f t="shared" si="31"/>
        <v>5</v>
      </c>
      <c r="O481" t="str">
        <f t="shared" si="32"/>
        <v>Detractor</v>
      </c>
    </row>
    <row r="482" spans="1:15" ht="14.25" customHeight="1" x14ac:dyDescent="0.3">
      <c r="A482" s="3" t="s">
        <v>501</v>
      </c>
      <c r="B482" s="3" t="s">
        <v>1023</v>
      </c>
      <c r="C482" s="3" t="s">
        <v>12</v>
      </c>
      <c r="D482" s="13">
        <v>45945</v>
      </c>
      <c r="E482" s="13">
        <v>45947</v>
      </c>
      <c r="F482" s="13">
        <v>45949</v>
      </c>
      <c r="G482" s="13">
        <v>45956</v>
      </c>
      <c r="H482" s="3" t="s">
        <v>13</v>
      </c>
      <c r="J482" s="4">
        <v>45967</v>
      </c>
      <c r="K482" s="3">
        <v>2</v>
      </c>
      <c r="L482" s="18">
        <f t="shared" si="29"/>
        <v>2</v>
      </c>
      <c r="M482">
        <f t="shared" si="30"/>
        <v>2</v>
      </c>
      <c r="N482">
        <f t="shared" si="31"/>
        <v>7</v>
      </c>
      <c r="O482" t="str">
        <f t="shared" si="32"/>
        <v>Detractor</v>
      </c>
    </row>
    <row r="483" spans="1:15" ht="14.25" customHeight="1" x14ac:dyDescent="0.3">
      <c r="A483" s="3" t="s">
        <v>502</v>
      </c>
      <c r="B483" s="3" t="s">
        <v>1023</v>
      </c>
      <c r="C483" s="3" t="s">
        <v>12</v>
      </c>
      <c r="D483" s="13">
        <v>45960</v>
      </c>
      <c r="E483" s="13">
        <v>45962</v>
      </c>
      <c r="F483" s="13">
        <v>45965</v>
      </c>
      <c r="G483" s="13">
        <v>45971</v>
      </c>
      <c r="H483" s="3" t="s">
        <v>13</v>
      </c>
      <c r="J483" s="4">
        <v>45992</v>
      </c>
      <c r="K483" s="3">
        <v>8</v>
      </c>
      <c r="L483" s="18">
        <f t="shared" si="29"/>
        <v>2</v>
      </c>
      <c r="M483">
        <f t="shared" si="30"/>
        <v>3</v>
      </c>
      <c r="N483">
        <f t="shared" si="31"/>
        <v>6</v>
      </c>
      <c r="O483" t="str">
        <f t="shared" si="32"/>
        <v>Passive</v>
      </c>
    </row>
    <row r="484" spans="1:15" ht="14.25" customHeight="1" x14ac:dyDescent="0.3">
      <c r="A484" s="3" t="s">
        <v>503</v>
      </c>
      <c r="B484" s="3" t="s">
        <v>1022</v>
      </c>
      <c r="C484" s="3" t="s">
        <v>12</v>
      </c>
      <c r="D484" s="13">
        <v>45941</v>
      </c>
      <c r="E484" s="13">
        <v>45942</v>
      </c>
      <c r="F484" s="13">
        <v>45944</v>
      </c>
      <c r="G484" s="13">
        <v>45946</v>
      </c>
      <c r="H484" s="3" t="s">
        <v>13</v>
      </c>
      <c r="J484" s="4">
        <v>45962</v>
      </c>
      <c r="K484" s="3">
        <v>5</v>
      </c>
      <c r="L484" s="18">
        <f t="shared" si="29"/>
        <v>1</v>
      </c>
      <c r="M484">
        <f t="shared" si="30"/>
        <v>2</v>
      </c>
      <c r="N484">
        <f t="shared" si="31"/>
        <v>2</v>
      </c>
      <c r="O484" t="str">
        <f t="shared" si="32"/>
        <v>Detractor</v>
      </c>
    </row>
    <row r="485" spans="1:15" ht="14.25" customHeight="1" x14ac:dyDescent="0.3">
      <c r="A485" s="3" t="s">
        <v>504</v>
      </c>
      <c r="B485" s="3" t="s">
        <v>1022</v>
      </c>
      <c r="C485" s="3" t="s">
        <v>12</v>
      </c>
      <c r="D485" s="13">
        <v>45958</v>
      </c>
      <c r="E485" s="13">
        <v>45961</v>
      </c>
      <c r="F485" s="13">
        <v>45964</v>
      </c>
      <c r="G485" s="13">
        <v>45970</v>
      </c>
      <c r="H485" s="3" t="s">
        <v>13</v>
      </c>
      <c r="J485" s="4">
        <v>45988</v>
      </c>
      <c r="K485" s="3">
        <v>5</v>
      </c>
      <c r="L485" s="18">
        <f t="shared" si="29"/>
        <v>3</v>
      </c>
      <c r="M485">
        <f t="shared" si="30"/>
        <v>3</v>
      </c>
      <c r="N485">
        <f t="shared" si="31"/>
        <v>6</v>
      </c>
      <c r="O485" t="str">
        <f t="shared" si="32"/>
        <v>Detractor</v>
      </c>
    </row>
    <row r="486" spans="1:15" ht="14.25" customHeight="1" x14ac:dyDescent="0.3">
      <c r="A486" s="3" t="s">
        <v>505</v>
      </c>
      <c r="B486" s="3" t="s">
        <v>1021</v>
      </c>
      <c r="C486" s="3" t="s">
        <v>12</v>
      </c>
      <c r="D486" s="13">
        <v>45937</v>
      </c>
      <c r="E486" s="13">
        <v>45941</v>
      </c>
      <c r="F486" s="13">
        <v>45942</v>
      </c>
      <c r="G486" s="13">
        <v>45944</v>
      </c>
      <c r="H486" s="3" t="s">
        <v>13</v>
      </c>
      <c r="J486" s="4">
        <v>45965</v>
      </c>
      <c r="K486" s="3">
        <v>6</v>
      </c>
      <c r="L486" s="18">
        <f t="shared" si="29"/>
        <v>4</v>
      </c>
      <c r="M486">
        <f t="shared" si="30"/>
        <v>1</v>
      </c>
      <c r="N486">
        <f t="shared" si="31"/>
        <v>2</v>
      </c>
      <c r="O486" t="str">
        <f t="shared" si="32"/>
        <v>Detractor</v>
      </c>
    </row>
    <row r="487" spans="1:15" ht="14.25" customHeight="1" x14ac:dyDescent="0.3">
      <c r="A487" s="3" t="s">
        <v>506</v>
      </c>
      <c r="B487" s="3" t="s">
        <v>1024</v>
      </c>
      <c r="C487" s="3" t="s">
        <v>12</v>
      </c>
      <c r="D487" s="13">
        <v>45953</v>
      </c>
      <c r="E487" s="13">
        <v>45955</v>
      </c>
      <c r="F487" s="13">
        <v>45959</v>
      </c>
      <c r="G487" s="13">
        <v>45963</v>
      </c>
      <c r="H487" s="3" t="s">
        <v>17</v>
      </c>
      <c r="I487" s="3" t="s">
        <v>20</v>
      </c>
      <c r="L487" s="18">
        <f t="shared" si="29"/>
        <v>2</v>
      </c>
      <c r="M487">
        <f t="shared" si="30"/>
        <v>4</v>
      </c>
      <c r="N487">
        <f t="shared" si="31"/>
        <v>4</v>
      </c>
      <c r="O487" t="str">
        <f t="shared" si="32"/>
        <v>Detractor</v>
      </c>
    </row>
    <row r="488" spans="1:15" ht="14.25" customHeight="1" x14ac:dyDescent="0.3">
      <c r="A488" s="3" t="s">
        <v>507</v>
      </c>
      <c r="B488" s="3" t="s">
        <v>1024</v>
      </c>
      <c r="C488" s="3" t="s">
        <v>12</v>
      </c>
      <c r="D488" s="13">
        <v>45938</v>
      </c>
      <c r="E488" s="13">
        <v>45942</v>
      </c>
      <c r="F488" s="13">
        <v>45945</v>
      </c>
      <c r="G488" s="13">
        <v>45949</v>
      </c>
      <c r="H488" s="3" t="s">
        <v>13</v>
      </c>
      <c r="J488" s="4">
        <v>45973</v>
      </c>
      <c r="K488" s="3">
        <v>9</v>
      </c>
      <c r="L488" s="18">
        <f t="shared" si="29"/>
        <v>4</v>
      </c>
      <c r="M488">
        <f t="shared" si="30"/>
        <v>3</v>
      </c>
      <c r="N488">
        <f t="shared" si="31"/>
        <v>4</v>
      </c>
      <c r="O488" t="str">
        <f t="shared" si="32"/>
        <v>Promoter</v>
      </c>
    </row>
    <row r="489" spans="1:15" ht="14.25" customHeight="1" x14ac:dyDescent="0.3">
      <c r="A489" s="3" t="s">
        <v>508</v>
      </c>
      <c r="B489" s="3" t="s">
        <v>1023</v>
      </c>
      <c r="C489" s="3" t="s">
        <v>24</v>
      </c>
      <c r="D489" s="13">
        <v>45949</v>
      </c>
      <c r="E489" s="13">
        <v>45953</v>
      </c>
      <c r="F489" s="13">
        <v>45954</v>
      </c>
      <c r="G489" s="13">
        <v>45957</v>
      </c>
      <c r="H489" s="3" t="s">
        <v>13</v>
      </c>
      <c r="J489" s="4">
        <v>45983</v>
      </c>
      <c r="K489" s="3">
        <v>4</v>
      </c>
      <c r="L489" s="18">
        <f t="shared" si="29"/>
        <v>4</v>
      </c>
      <c r="M489">
        <f t="shared" si="30"/>
        <v>1</v>
      </c>
      <c r="N489">
        <f t="shared" si="31"/>
        <v>3</v>
      </c>
      <c r="O489" t="str">
        <f t="shared" si="32"/>
        <v>Detractor</v>
      </c>
    </row>
    <row r="490" spans="1:15" ht="14.25" customHeight="1" x14ac:dyDescent="0.3">
      <c r="A490" s="3" t="s">
        <v>509</v>
      </c>
      <c r="B490" s="3" t="s">
        <v>1023</v>
      </c>
      <c r="C490" s="3" t="s">
        <v>12</v>
      </c>
      <c r="D490" s="13">
        <v>45943</v>
      </c>
      <c r="E490" s="13">
        <v>45948</v>
      </c>
      <c r="F490" s="13">
        <v>45953</v>
      </c>
      <c r="G490" s="13">
        <v>45958</v>
      </c>
      <c r="H490" s="3" t="s">
        <v>13</v>
      </c>
      <c r="J490" s="4">
        <v>45980</v>
      </c>
      <c r="K490" s="3">
        <v>5</v>
      </c>
      <c r="L490" s="18">
        <f t="shared" si="29"/>
        <v>5</v>
      </c>
      <c r="M490">
        <f t="shared" si="30"/>
        <v>5</v>
      </c>
      <c r="N490">
        <f t="shared" si="31"/>
        <v>5</v>
      </c>
      <c r="O490" t="str">
        <f t="shared" si="32"/>
        <v>Detractor</v>
      </c>
    </row>
    <row r="491" spans="1:15" ht="14.25" customHeight="1" x14ac:dyDescent="0.3">
      <c r="A491" s="3" t="s">
        <v>510</v>
      </c>
      <c r="B491" s="3" t="s">
        <v>1023</v>
      </c>
      <c r="C491" s="3" t="s">
        <v>24</v>
      </c>
      <c r="D491" s="13">
        <v>45938</v>
      </c>
      <c r="E491" s="13">
        <v>45939</v>
      </c>
      <c r="F491" s="13">
        <v>45941</v>
      </c>
      <c r="G491" s="13">
        <v>45947</v>
      </c>
      <c r="H491" s="3" t="s">
        <v>13</v>
      </c>
      <c r="J491" s="4">
        <v>45977</v>
      </c>
      <c r="K491" s="3">
        <v>2</v>
      </c>
      <c r="L491" s="18">
        <f t="shared" si="29"/>
        <v>1</v>
      </c>
      <c r="M491">
        <f t="shared" si="30"/>
        <v>2</v>
      </c>
      <c r="N491">
        <f t="shared" si="31"/>
        <v>6</v>
      </c>
      <c r="O491" t="str">
        <f t="shared" si="32"/>
        <v>Detractor</v>
      </c>
    </row>
    <row r="492" spans="1:15" ht="14.25" customHeight="1" x14ac:dyDescent="0.3">
      <c r="A492" s="3" t="s">
        <v>511</v>
      </c>
      <c r="B492" s="3" t="s">
        <v>1022</v>
      </c>
      <c r="C492" s="3" t="s">
        <v>12</v>
      </c>
      <c r="D492" s="13">
        <v>45958</v>
      </c>
      <c r="E492" s="13">
        <v>45959</v>
      </c>
      <c r="F492" s="13">
        <v>45960</v>
      </c>
      <c r="G492" s="13">
        <v>45965</v>
      </c>
      <c r="H492" s="3" t="s">
        <v>13</v>
      </c>
      <c r="J492" s="4">
        <v>45978</v>
      </c>
      <c r="K492" s="3">
        <v>9</v>
      </c>
      <c r="L492" s="18">
        <f t="shared" si="29"/>
        <v>1</v>
      </c>
      <c r="M492">
        <f t="shared" si="30"/>
        <v>1</v>
      </c>
      <c r="N492">
        <f t="shared" si="31"/>
        <v>5</v>
      </c>
      <c r="O492" t="str">
        <f t="shared" si="32"/>
        <v>Promoter</v>
      </c>
    </row>
    <row r="493" spans="1:15" ht="14.25" customHeight="1" x14ac:dyDescent="0.3">
      <c r="A493" s="3" t="s">
        <v>512</v>
      </c>
      <c r="B493" s="3" t="s">
        <v>1022</v>
      </c>
      <c r="C493" s="3" t="s">
        <v>12</v>
      </c>
      <c r="D493" s="13">
        <v>45955</v>
      </c>
      <c r="E493" s="13">
        <v>45956</v>
      </c>
      <c r="F493" s="13">
        <v>45959</v>
      </c>
      <c r="G493" s="13">
        <v>45963</v>
      </c>
      <c r="H493" s="3" t="s">
        <v>17</v>
      </c>
      <c r="I493" s="3" t="s">
        <v>18</v>
      </c>
      <c r="L493" s="18">
        <f t="shared" si="29"/>
        <v>1</v>
      </c>
      <c r="M493">
        <f t="shared" si="30"/>
        <v>3</v>
      </c>
      <c r="N493">
        <f t="shared" si="31"/>
        <v>4</v>
      </c>
      <c r="O493" t="str">
        <f t="shared" si="32"/>
        <v>Detractor</v>
      </c>
    </row>
    <row r="494" spans="1:15" ht="14.25" customHeight="1" x14ac:dyDescent="0.3">
      <c r="A494" s="3" t="s">
        <v>513</v>
      </c>
      <c r="B494" s="3" t="s">
        <v>1023</v>
      </c>
      <c r="C494" s="3" t="s">
        <v>12</v>
      </c>
      <c r="D494" s="13">
        <v>45944</v>
      </c>
      <c r="E494" s="13">
        <v>45947</v>
      </c>
      <c r="F494" s="13">
        <v>45951</v>
      </c>
      <c r="G494" s="13">
        <v>45957</v>
      </c>
      <c r="H494" s="3" t="s">
        <v>13</v>
      </c>
      <c r="J494" s="4">
        <v>45967</v>
      </c>
      <c r="K494" s="3">
        <v>3</v>
      </c>
      <c r="L494" s="18">
        <f t="shared" si="29"/>
        <v>3</v>
      </c>
      <c r="M494">
        <f t="shared" si="30"/>
        <v>4</v>
      </c>
      <c r="N494">
        <f t="shared" si="31"/>
        <v>6</v>
      </c>
      <c r="O494" t="str">
        <f t="shared" si="32"/>
        <v>Detractor</v>
      </c>
    </row>
    <row r="495" spans="1:15" ht="14.25" customHeight="1" x14ac:dyDescent="0.3">
      <c r="A495" s="3" t="s">
        <v>514</v>
      </c>
      <c r="B495" s="3" t="s">
        <v>1023</v>
      </c>
      <c r="C495" s="3" t="s">
        <v>12</v>
      </c>
      <c r="D495" s="13">
        <v>45932</v>
      </c>
      <c r="E495" s="13">
        <v>45934</v>
      </c>
      <c r="F495" s="13">
        <v>45939</v>
      </c>
      <c r="G495" s="13">
        <v>45946</v>
      </c>
      <c r="H495" s="3" t="s">
        <v>13</v>
      </c>
      <c r="J495" s="4">
        <v>45963</v>
      </c>
      <c r="K495" s="3">
        <v>1</v>
      </c>
      <c r="L495" s="18">
        <f t="shared" si="29"/>
        <v>2</v>
      </c>
      <c r="M495">
        <f t="shared" si="30"/>
        <v>5</v>
      </c>
      <c r="N495">
        <f t="shared" si="31"/>
        <v>7</v>
      </c>
      <c r="O495" t="str">
        <f t="shared" si="32"/>
        <v>Detractor</v>
      </c>
    </row>
    <row r="496" spans="1:15" ht="14.25" customHeight="1" x14ac:dyDescent="0.3">
      <c r="A496" s="3" t="s">
        <v>515</v>
      </c>
      <c r="B496" s="3" t="s">
        <v>1023</v>
      </c>
      <c r="C496" s="3" t="s">
        <v>16</v>
      </c>
      <c r="D496" s="13">
        <v>45941</v>
      </c>
      <c r="H496" s="3" t="s">
        <v>17</v>
      </c>
      <c r="I496" s="3" t="s">
        <v>94</v>
      </c>
      <c r="M496">
        <f t="shared" si="30"/>
        <v>0</v>
      </c>
      <c r="N496">
        <f t="shared" si="31"/>
        <v>0</v>
      </c>
      <c r="O496" t="str">
        <f t="shared" si="32"/>
        <v>Detractor</v>
      </c>
    </row>
    <row r="497" spans="1:15" ht="14.25" customHeight="1" x14ac:dyDescent="0.3">
      <c r="A497" s="3" t="s">
        <v>516</v>
      </c>
      <c r="B497" s="3" t="s">
        <v>1024</v>
      </c>
      <c r="C497" s="3" t="s">
        <v>16</v>
      </c>
      <c r="D497" s="13">
        <v>45954</v>
      </c>
      <c r="H497" s="3" t="s">
        <v>17</v>
      </c>
      <c r="I497" s="3" t="s">
        <v>56</v>
      </c>
      <c r="M497">
        <f t="shared" si="30"/>
        <v>0</v>
      </c>
      <c r="N497">
        <f t="shared" si="31"/>
        <v>0</v>
      </c>
      <c r="O497" t="str">
        <f t="shared" si="32"/>
        <v>Detractor</v>
      </c>
    </row>
    <row r="498" spans="1:15" ht="14.25" customHeight="1" x14ac:dyDescent="0.3">
      <c r="A498" s="3" t="s">
        <v>517</v>
      </c>
      <c r="B498" s="3" t="s">
        <v>1022</v>
      </c>
      <c r="C498" s="3" t="s">
        <v>16</v>
      </c>
      <c r="D498" s="13">
        <v>45946</v>
      </c>
      <c r="H498" s="3" t="s">
        <v>17</v>
      </c>
      <c r="I498" s="3" t="s">
        <v>56</v>
      </c>
      <c r="M498">
        <f t="shared" si="30"/>
        <v>0</v>
      </c>
      <c r="N498">
        <f t="shared" si="31"/>
        <v>0</v>
      </c>
      <c r="O498" t="str">
        <f t="shared" si="32"/>
        <v>Detractor</v>
      </c>
    </row>
    <row r="499" spans="1:15" ht="14.25" customHeight="1" x14ac:dyDescent="0.3">
      <c r="A499" s="3" t="s">
        <v>518</v>
      </c>
      <c r="B499" s="3" t="s">
        <v>1024</v>
      </c>
      <c r="C499" s="3" t="s">
        <v>16</v>
      </c>
      <c r="D499" s="13">
        <v>45953</v>
      </c>
      <c r="H499" s="3" t="s">
        <v>17</v>
      </c>
      <c r="I499" s="3" t="s">
        <v>94</v>
      </c>
      <c r="M499">
        <f t="shared" si="30"/>
        <v>0</v>
      </c>
      <c r="N499">
        <f t="shared" si="31"/>
        <v>0</v>
      </c>
      <c r="O499" t="str">
        <f t="shared" si="32"/>
        <v>Detractor</v>
      </c>
    </row>
    <row r="500" spans="1:15" ht="14.25" customHeight="1" x14ac:dyDescent="0.3">
      <c r="A500" s="3" t="s">
        <v>519</v>
      </c>
      <c r="B500" s="3" t="s">
        <v>1024</v>
      </c>
      <c r="C500" s="3" t="s">
        <v>24</v>
      </c>
      <c r="D500" s="13">
        <v>45960</v>
      </c>
      <c r="E500" s="13">
        <v>45962</v>
      </c>
      <c r="F500" s="13">
        <v>45967</v>
      </c>
      <c r="G500" s="13">
        <v>45970</v>
      </c>
      <c r="H500" s="3" t="s">
        <v>13</v>
      </c>
      <c r="J500" s="4">
        <v>45991</v>
      </c>
      <c r="K500" s="3">
        <v>8</v>
      </c>
      <c r="L500" s="18">
        <f t="shared" si="29"/>
        <v>2</v>
      </c>
      <c r="M500">
        <f t="shared" si="30"/>
        <v>5</v>
      </c>
      <c r="N500">
        <f t="shared" si="31"/>
        <v>3</v>
      </c>
      <c r="O500" t="str">
        <f t="shared" si="32"/>
        <v>Passive</v>
      </c>
    </row>
    <row r="501" spans="1:15" ht="14.25" customHeight="1" x14ac:dyDescent="0.3">
      <c r="A501" s="3" t="s">
        <v>520</v>
      </c>
      <c r="B501" s="3" t="s">
        <v>1023</v>
      </c>
      <c r="C501" s="3" t="s">
        <v>24</v>
      </c>
      <c r="D501" s="13">
        <v>45956</v>
      </c>
      <c r="E501" s="13">
        <v>45961</v>
      </c>
      <c r="F501" s="13">
        <v>45962</v>
      </c>
      <c r="G501" s="13">
        <v>45967</v>
      </c>
      <c r="H501" s="3" t="s">
        <v>13</v>
      </c>
      <c r="J501" s="4">
        <v>45992</v>
      </c>
      <c r="K501" s="3">
        <v>7</v>
      </c>
      <c r="L501" s="18">
        <f t="shared" si="29"/>
        <v>5</v>
      </c>
      <c r="M501">
        <f t="shared" si="30"/>
        <v>1</v>
      </c>
      <c r="N501">
        <f t="shared" si="31"/>
        <v>5</v>
      </c>
      <c r="O501" t="str">
        <f t="shared" si="32"/>
        <v>Passive</v>
      </c>
    </row>
    <row r="502" spans="1:15" ht="14.25" customHeight="1" x14ac:dyDescent="0.3">
      <c r="A502" s="3" t="s">
        <v>521</v>
      </c>
      <c r="B502" s="3" t="s">
        <v>1023</v>
      </c>
      <c r="C502" s="3" t="s">
        <v>12</v>
      </c>
      <c r="D502" s="13">
        <v>45943</v>
      </c>
      <c r="E502" s="13">
        <v>45948</v>
      </c>
      <c r="F502" s="13">
        <v>45949</v>
      </c>
      <c r="G502" s="13">
        <v>45951</v>
      </c>
      <c r="H502" s="3" t="s">
        <v>13</v>
      </c>
      <c r="J502" s="4">
        <v>45980</v>
      </c>
      <c r="K502" s="3">
        <v>9</v>
      </c>
      <c r="L502" s="18">
        <f t="shared" si="29"/>
        <v>5</v>
      </c>
      <c r="M502">
        <f t="shared" si="30"/>
        <v>1</v>
      </c>
      <c r="N502">
        <f t="shared" si="31"/>
        <v>2</v>
      </c>
      <c r="O502" t="str">
        <f t="shared" si="32"/>
        <v>Promoter</v>
      </c>
    </row>
    <row r="503" spans="1:15" ht="14.25" customHeight="1" x14ac:dyDescent="0.3">
      <c r="A503" s="3" t="s">
        <v>522</v>
      </c>
      <c r="B503" s="3" t="s">
        <v>1021</v>
      </c>
      <c r="C503" s="3" t="s">
        <v>24</v>
      </c>
      <c r="D503" s="13">
        <v>45943</v>
      </c>
      <c r="E503" s="13">
        <v>45948</v>
      </c>
      <c r="F503" s="13">
        <v>45950</v>
      </c>
      <c r="G503" s="13">
        <v>45952</v>
      </c>
      <c r="H503" s="3" t="s">
        <v>13</v>
      </c>
      <c r="J503" s="4">
        <v>45976</v>
      </c>
      <c r="K503" s="3">
        <v>4</v>
      </c>
      <c r="L503" s="18">
        <f t="shared" si="29"/>
        <v>5</v>
      </c>
      <c r="M503">
        <f t="shared" si="30"/>
        <v>2</v>
      </c>
      <c r="N503">
        <f t="shared" si="31"/>
        <v>2</v>
      </c>
      <c r="O503" t="str">
        <f t="shared" si="32"/>
        <v>Detractor</v>
      </c>
    </row>
    <row r="504" spans="1:15" ht="14.25" customHeight="1" x14ac:dyDescent="0.3">
      <c r="A504" s="3" t="s">
        <v>523</v>
      </c>
      <c r="B504" s="3" t="s">
        <v>1021</v>
      </c>
      <c r="C504" s="3" t="s">
        <v>12</v>
      </c>
      <c r="D504" s="13">
        <v>45952</v>
      </c>
      <c r="E504" s="13">
        <v>45956</v>
      </c>
      <c r="F504" s="13">
        <v>45961</v>
      </c>
      <c r="G504" s="13">
        <v>45967</v>
      </c>
      <c r="H504" s="3" t="s">
        <v>13</v>
      </c>
      <c r="J504" s="4">
        <v>45982</v>
      </c>
      <c r="K504" s="3">
        <v>5</v>
      </c>
      <c r="L504" s="18">
        <f t="shared" si="29"/>
        <v>4</v>
      </c>
      <c r="M504">
        <f t="shared" si="30"/>
        <v>5</v>
      </c>
      <c r="N504">
        <f t="shared" si="31"/>
        <v>6</v>
      </c>
      <c r="O504" t="str">
        <f t="shared" si="32"/>
        <v>Detractor</v>
      </c>
    </row>
    <row r="505" spans="1:15" ht="14.25" customHeight="1" x14ac:dyDescent="0.3">
      <c r="A505" s="3" t="s">
        <v>524</v>
      </c>
      <c r="B505" s="3" t="s">
        <v>1024</v>
      </c>
      <c r="C505" s="3" t="s">
        <v>12</v>
      </c>
      <c r="D505" s="13">
        <v>45956</v>
      </c>
      <c r="E505" s="13">
        <v>45957</v>
      </c>
      <c r="F505" s="13">
        <v>45962</v>
      </c>
      <c r="G505" s="13">
        <v>45964</v>
      </c>
      <c r="H505" s="3" t="s">
        <v>13</v>
      </c>
      <c r="J505" s="4">
        <v>45989</v>
      </c>
      <c r="K505" s="3">
        <v>10</v>
      </c>
      <c r="L505" s="18">
        <f t="shared" si="29"/>
        <v>1</v>
      </c>
      <c r="M505">
        <f t="shared" si="30"/>
        <v>5</v>
      </c>
      <c r="N505">
        <f t="shared" si="31"/>
        <v>2</v>
      </c>
      <c r="O505" t="str">
        <f t="shared" si="32"/>
        <v>Promoter</v>
      </c>
    </row>
    <row r="506" spans="1:15" ht="14.25" customHeight="1" x14ac:dyDescent="0.3">
      <c r="A506" s="3" t="s">
        <v>525</v>
      </c>
      <c r="B506" s="3" t="s">
        <v>1022</v>
      </c>
      <c r="C506" s="3" t="s">
        <v>12</v>
      </c>
      <c r="D506" s="13">
        <v>45957</v>
      </c>
      <c r="E506" s="13">
        <v>45960</v>
      </c>
      <c r="F506" s="13">
        <v>45962</v>
      </c>
      <c r="G506" s="13">
        <v>45964</v>
      </c>
      <c r="H506" s="3" t="s">
        <v>13</v>
      </c>
      <c r="J506" s="4">
        <v>45992</v>
      </c>
      <c r="K506" s="3">
        <v>1</v>
      </c>
      <c r="L506" s="18">
        <f t="shared" si="29"/>
        <v>3</v>
      </c>
      <c r="M506">
        <f t="shared" si="30"/>
        <v>2</v>
      </c>
      <c r="N506">
        <f t="shared" si="31"/>
        <v>2</v>
      </c>
      <c r="O506" t="str">
        <f t="shared" si="32"/>
        <v>Detractor</v>
      </c>
    </row>
    <row r="507" spans="1:15" ht="14.25" customHeight="1" x14ac:dyDescent="0.3">
      <c r="A507" s="3" t="s">
        <v>526</v>
      </c>
      <c r="B507" s="3" t="s">
        <v>1023</v>
      </c>
      <c r="C507" s="3" t="s">
        <v>12</v>
      </c>
      <c r="D507" s="13">
        <v>45951</v>
      </c>
      <c r="E507" s="13">
        <v>45953</v>
      </c>
      <c r="F507" s="13">
        <v>45957</v>
      </c>
      <c r="G507" s="13">
        <v>45961</v>
      </c>
      <c r="H507" s="3" t="s">
        <v>13</v>
      </c>
      <c r="J507" s="4">
        <v>45988</v>
      </c>
      <c r="K507" s="3">
        <v>10</v>
      </c>
      <c r="L507" s="18">
        <f t="shared" si="29"/>
        <v>2</v>
      </c>
      <c r="M507">
        <f t="shared" si="30"/>
        <v>4</v>
      </c>
      <c r="N507">
        <f t="shared" si="31"/>
        <v>4</v>
      </c>
      <c r="O507" t="str">
        <f t="shared" si="32"/>
        <v>Promoter</v>
      </c>
    </row>
    <row r="508" spans="1:15" ht="14.25" customHeight="1" x14ac:dyDescent="0.3">
      <c r="A508" s="3" t="s">
        <v>527</v>
      </c>
      <c r="B508" s="3" t="s">
        <v>1023</v>
      </c>
      <c r="C508" s="3" t="s">
        <v>12</v>
      </c>
      <c r="D508" s="13">
        <v>45935</v>
      </c>
      <c r="E508" s="13">
        <v>45938</v>
      </c>
      <c r="F508" s="13">
        <v>45940</v>
      </c>
      <c r="G508" s="13">
        <v>45943</v>
      </c>
      <c r="H508" s="3" t="s">
        <v>13</v>
      </c>
      <c r="J508" s="4">
        <v>45964</v>
      </c>
      <c r="K508" s="3">
        <v>5</v>
      </c>
      <c r="L508" s="18">
        <f t="shared" si="29"/>
        <v>3</v>
      </c>
      <c r="M508">
        <f t="shared" si="30"/>
        <v>2</v>
      </c>
      <c r="N508">
        <f t="shared" si="31"/>
        <v>3</v>
      </c>
      <c r="O508" t="str">
        <f t="shared" si="32"/>
        <v>Detractor</v>
      </c>
    </row>
    <row r="509" spans="1:15" ht="14.25" customHeight="1" x14ac:dyDescent="0.3">
      <c r="A509" s="3" t="s">
        <v>528</v>
      </c>
      <c r="B509" s="3" t="s">
        <v>1024</v>
      </c>
      <c r="C509" s="3" t="s">
        <v>12</v>
      </c>
      <c r="D509" s="13">
        <v>45946</v>
      </c>
      <c r="E509" s="13">
        <v>45947</v>
      </c>
      <c r="F509" s="13">
        <v>45950</v>
      </c>
      <c r="G509" s="13">
        <v>45952</v>
      </c>
      <c r="H509" s="3" t="s">
        <v>13</v>
      </c>
      <c r="J509" s="4">
        <v>45973</v>
      </c>
      <c r="K509" s="3">
        <v>5</v>
      </c>
      <c r="L509" s="18">
        <f t="shared" si="29"/>
        <v>1</v>
      </c>
      <c r="M509">
        <f t="shared" si="30"/>
        <v>3</v>
      </c>
      <c r="N509">
        <f t="shared" si="31"/>
        <v>2</v>
      </c>
      <c r="O509" t="str">
        <f t="shared" si="32"/>
        <v>Detractor</v>
      </c>
    </row>
    <row r="510" spans="1:15" ht="14.25" customHeight="1" x14ac:dyDescent="0.3">
      <c r="A510" s="3" t="s">
        <v>529</v>
      </c>
      <c r="B510" s="3" t="s">
        <v>1021</v>
      </c>
      <c r="C510" s="3" t="s">
        <v>16</v>
      </c>
      <c r="D510" s="13">
        <v>45961</v>
      </c>
      <c r="H510" s="3" t="s">
        <v>17</v>
      </c>
      <c r="I510" s="3" t="s">
        <v>56</v>
      </c>
      <c r="M510">
        <f t="shared" si="30"/>
        <v>0</v>
      </c>
      <c r="N510">
        <f t="shared" si="31"/>
        <v>0</v>
      </c>
      <c r="O510" t="str">
        <f t="shared" si="32"/>
        <v>Detractor</v>
      </c>
    </row>
    <row r="511" spans="1:15" ht="14.25" customHeight="1" x14ac:dyDescent="0.3">
      <c r="A511" s="3" t="s">
        <v>530</v>
      </c>
      <c r="B511" s="3" t="s">
        <v>1022</v>
      </c>
      <c r="C511" s="3" t="s">
        <v>12</v>
      </c>
      <c r="D511" s="13">
        <v>45932</v>
      </c>
      <c r="E511" s="13">
        <v>45933</v>
      </c>
      <c r="F511" s="13">
        <v>45936</v>
      </c>
      <c r="G511" s="13">
        <v>45938</v>
      </c>
      <c r="H511" s="3" t="s">
        <v>13</v>
      </c>
      <c r="J511" s="4">
        <v>45953</v>
      </c>
      <c r="K511" s="3">
        <v>7</v>
      </c>
      <c r="L511" s="18">
        <f t="shared" si="29"/>
        <v>1</v>
      </c>
      <c r="M511">
        <f t="shared" si="30"/>
        <v>3</v>
      </c>
      <c r="N511">
        <f t="shared" si="31"/>
        <v>2</v>
      </c>
      <c r="O511" t="str">
        <f t="shared" si="32"/>
        <v>Passive</v>
      </c>
    </row>
    <row r="512" spans="1:15" ht="14.25" customHeight="1" x14ac:dyDescent="0.3">
      <c r="A512" s="3" t="s">
        <v>531</v>
      </c>
      <c r="B512" s="3" t="s">
        <v>1021</v>
      </c>
      <c r="C512" s="3" t="s">
        <v>16</v>
      </c>
      <c r="D512" s="13">
        <v>45935</v>
      </c>
      <c r="H512" s="3" t="s">
        <v>17</v>
      </c>
      <c r="I512" s="3" t="s">
        <v>26</v>
      </c>
      <c r="M512">
        <f t="shared" si="30"/>
        <v>0</v>
      </c>
      <c r="N512">
        <f t="shared" si="31"/>
        <v>0</v>
      </c>
      <c r="O512" t="str">
        <f t="shared" si="32"/>
        <v>Detractor</v>
      </c>
    </row>
    <row r="513" spans="1:15" ht="14.25" customHeight="1" x14ac:dyDescent="0.3">
      <c r="A513" s="3" t="s">
        <v>532</v>
      </c>
      <c r="B513" s="3" t="s">
        <v>1021</v>
      </c>
      <c r="C513" s="3" t="s">
        <v>24</v>
      </c>
      <c r="D513" s="13">
        <v>45947</v>
      </c>
      <c r="E513" s="13">
        <v>45949</v>
      </c>
      <c r="F513" s="13">
        <v>45950</v>
      </c>
      <c r="G513" s="13">
        <v>45955</v>
      </c>
      <c r="H513" s="3" t="s">
        <v>13</v>
      </c>
      <c r="J513" s="4">
        <v>45973</v>
      </c>
      <c r="K513" s="3">
        <v>7</v>
      </c>
      <c r="L513" s="18">
        <f t="shared" si="29"/>
        <v>2</v>
      </c>
      <c r="M513">
        <f t="shared" si="30"/>
        <v>1</v>
      </c>
      <c r="N513">
        <f t="shared" si="31"/>
        <v>5</v>
      </c>
      <c r="O513" t="str">
        <f t="shared" si="32"/>
        <v>Passive</v>
      </c>
    </row>
    <row r="514" spans="1:15" ht="14.25" customHeight="1" x14ac:dyDescent="0.3">
      <c r="A514" s="3" t="s">
        <v>533</v>
      </c>
      <c r="B514" s="3" t="s">
        <v>1021</v>
      </c>
      <c r="C514" s="3" t="s">
        <v>16</v>
      </c>
      <c r="D514" s="13">
        <v>45961</v>
      </c>
      <c r="H514" s="3" t="s">
        <v>17</v>
      </c>
      <c r="I514" s="3" t="s">
        <v>18</v>
      </c>
      <c r="M514">
        <f t="shared" si="30"/>
        <v>0</v>
      </c>
      <c r="N514">
        <f t="shared" si="31"/>
        <v>0</v>
      </c>
      <c r="O514" t="str">
        <f t="shared" si="32"/>
        <v>Detractor</v>
      </c>
    </row>
    <row r="515" spans="1:15" ht="14.25" customHeight="1" x14ac:dyDescent="0.3">
      <c r="A515" s="3" t="s">
        <v>534</v>
      </c>
      <c r="B515" s="3" t="s">
        <v>1021</v>
      </c>
      <c r="C515" s="3" t="s">
        <v>12</v>
      </c>
      <c r="D515" s="13">
        <v>45949</v>
      </c>
      <c r="E515" s="13">
        <v>45953</v>
      </c>
      <c r="F515" s="13">
        <v>45955</v>
      </c>
      <c r="G515" s="13">
        <v>45961</v>
      </c>
      <c r="H515" s="3" t="s">
        <v>13</v>
      </c>
      <c r="J515" s="4">
        <v>45973</v>
      </c>
      <c r="K515" s="3">
        <v>3</v>
      </c>
      <c r="L515" s="18">
        <f t="shared" ref="L515:L578" si="33">E515-D515</f>
        <v>4</v>
      </c>
      <c r="M515">
        <f t="shared" ref="M515:M578" si="34">F515-E515</f>
        <v>2</v>
      </c>
      <c r="N515">
        <f t="shared" ref="N515:N578" si="35">G515-F515</f>
        <v>6</v>
      </c>
      <c r="O515" t="str">
        <f t="shared" ref="O515:O578" si="36">IF(K515&gt;=9,"Promoter",IF(K515&lt;=6,"Detractor","Passive"))</f>
        <v>Detractor</v>
      </c>
    </row>
    <row r="516" spans="1:15" ht="14.25" customHeight="1" x14ac:dyDescent="0.3">
      <c r="A516" s="3" t="s">
        <v>535</v>
      </c>
      <c r="B516" s="3" t="s">
        <v>1023</v>
      </c>
      <c r="C516" s="3" t="s">
        <v>12</v>
      </c>
      <c r="D516" s="13">
        <v>45941</v>
      </c>
      <c r="E516" s="13">
        <v>45946</v>
      </c>
      <c r="F516" s="13">
        <v>45948</v>
      </c>
      <c r="G516" s="13">
        <v>45952</v>
      </c>
      <c r="H516" s="3" t="s">
        <v>13</v>
      </c>
      <c r="J516" s="4">
        <v>45971</v>
      </c>
      <c r="K516" s="3">
        <v>5</v>
      </c>
      <c r="L516" s="18">
        <f t="shared" si="33"/>
        <v>5</v>
      </c>
      <c r="M516">
        <f t="shared" si="34"/>
        <v>2</v>
      </c>
      <c r="N516">
        <f t="shared" si="35"/>
        <v>4</v>
      </c>
      <c r="O516" t="str">
        <f t="shared" si="36"/>
        <v>Detractor</v>
      </c>
    </row>
    <row r="517" spans="1:15" ht="14.25" customHeight="1" x14ac:dyDescent="0.3">
      <c r="A517" s="3" t="s">
        <v>536</v>
      </c>
      <c r="B517" s="3" t="s">
        <v>1023</v>
      </c>
      <c r="C517" s="3" t="s">
        <v>24</v>
      </c>
      <c r="D517" s="13">
        <v>45958</v>
      </c>
      <c r="E517" s="13">
        <v>45962</v>
      </c>
      <c r="F517" s="13">
        <v>45963</v>
      </c>
      <c r="G517" s="13">
        <v>45970</v>
      </c>
      <c r="H517" s="3" t="s">
        <v>17</v>
      </c>
      <c r="I517" s="3" t="s">
        <v>18</v>
      </c>
      <c r="L517" s="18">
        <f t="shared" si="33"/>
        <v>4</v>
      </c>
      <c r="M517">
        <f t="shared" si="34"/>
        <v>1</v>
      </c>
      <c r="N517">
        <f t="shared" si="35"/>
        <v>7</v>
      </c>
      <c r="O517" t="str">
        <f t="shared" si="36"/>
        <v>Detractor</v>
      </c>
    </row>
    <row r="518" spans="1:15" ht="14.25" customHeight="1" x14ac:dyDescent="0.3">
      <c r="A518" s="3" t="s">
        <v>537</v>
      </c>
      <c r="B518" s="3" t="s">
        <v>1021</v>
      </c>
      <c r="C518" s="3" t="s">
        <v>12</v>
      </c>
      <c r="D518" s="13">
        <v>45934</v>
      </c>
      <c r="E518" s="13">
        <v>45935</v>
      </c>
      <c r="F518" s="13">
        <v>45939</v>
      </c>
      <c r="G518" s="13">
        <v>45946</v>
      </c>
      <c r="H518" s="3" t="s">
        <v>13</v>
      </c>
      <c r="J518" s="4">
        <v>45956</v>
      </c>
      <c r="K518" s="3">
        <v>2</v>
      </c>
      <c r="L518" s="18">
        <f t="shared" si="33"/>
        <v>1</v>
      </c>
      <c r="M518">
        <f t="shared" si="34"/>
        <v>4</v>
      </c>
      <c r="N518">
        <f t="shared" si="35"/>
        <v>7</v>
      </c>
      <c r="O518" t="str">
        <f t="shared" si="36"/>
        <v>Detractor</v>
      </c>
    </row>
    <row r="519" spans="1:15" ht="14.25" customHeight="1" x14ac:dyDescent="0.3">
      <c r="A519" s="3" t="s">
        <v>538</v>
      </c>
      <c r="B519" s="3" t="s">
        <v>1022</v>
      </c>
      <c r="C519" s="3" t="s">
        <v>24</v>
      </c>
      <c r="D519" s="13">
        <v>45958</v>
      </c>
      <c r="E519" s="13">
        <v>45959</v>
      </c>
      <c r="F519" s="13">
        <v>45961</v>
      </c>
      <c r="G519" s="13">
        <v>45967</v>
      </c>
      <c r="H519" s="3" t="s">
        <v>13</v>
      </c>
      <c r="J519" s="4">
        <v>45989</v>
      </c>
      <c r="K519" s="3">
        <v>1</v>
      </c>
      <c r="L519" s="18">
        <f t="shared" si="33"/>
        <v>1</v>
      </c>
      <c r="M519">
        <f t="shared" si="34"/>
        <v>2</v>
      </c>
      <c r="N519">
        <f t="shared" si="35"/>
        <v>6</v>
      </c>
      <c r="O519" t="str">
        <f t="shared" si="36"/>
        <v>Detractor</v>
      </c>
    </row>
    <row r="520" spans="1:15" ht="14.25" customHeight="1" x14ac:dyDescent="0.3">
      <c r="A520" s="3" t="s">
        <v>539</v>
      </c>
      <c r="B520" s="3" t="s">
        <v>1024</v>
      </c>
      <c r="C520" s="3" t="s">
        <v>24</v>
      </c>
      <c r="D520" s="13">
        <v>45958</v>
      </c>
      <c r="E520" s="13">
        <v>45962</v>
      </c>
      <c r="F520" s="13">
        <v>45967</v>
      </c>
      <c r="G520" s="13">
        <v>45972</v>
      </c>
      <c r="H520" s="3" t="s">
        <v>13</v>
      </c>
      <c r="J520" s="4">
        <v>45983</v>
      </c>
      <c r="K520" s="3">
        <v>10</v>
      </c>
      <c r="L520" s="18">
        <f t="shared" si="33"/>
        <v>4</v>
      </c>
      <c r="M520">
        <f t="shared" si="34"/>
        <v>5</v>
      </c>
      <c r="N520">
        <f t="shared" si="35"/>
        <v>5</v>
      </c>
      <c r="O520" t="str">
        <f t="shared" si="36"/>
        <v>Promoter</v>
      </c>
    </row>
    <row r="521" spans="1:15" ht="14.25" customHeight="1" x14ac:dyDescent="0.3">
      <c r="A521" s="3" t="s">
        <v>540</v>
      </c>
      <c r="B521" s="3" t="s">
        <v>1022</v>
      </c>
      <c r="C521" s="3" t="s">
        <v>12</v>
      </c>
      <c r="D521" s="13">
        <v>45945</v>
      </c>
      <c r="E521" s="13">
        <v>45950</v>
      </c>
      <c r="F521" s="13">
        <v>45952</v>
      </c>
      <c r="G521" s="13">
        <v>45957</v>
      </c>
      <c r="H521" s="3" t="s">
        <v>13</v>
      </c>
      <c r="J521" s="4">
        <v>45972</v>
      </c>
      <c r="K521" s="3">
        <v>6</v>
      </c>
      <c r="L521" s="18">
        <f t="shared" si="33"/>
        <v>5</v>
      </c>
      <c r="M521">
        <f t="shared" si="34"/>
        <v>2</v>
      </c>
      <c r="N521">
        <f t="shared" si="35"/>
        <v>5</v>
      </c>
      <c r="O521" t="str">
        <f t="shared" si="36"/>
        <v>Detractor</v>
      </c>
    </row>
    <row r="522" spans="1:15" ht="14.25" customHeight="1" x14ac:dyDescent="0.3">
      <c r="A522" s="3" t="s">
        <v>541</v>
      </c>
      <c r="B522" s="3" t="s">
        <v>1022</v>
      </c>
      <c r="C522" s="3" t="s">
        <v>12</v>
      </c>
      <c r="D522" s="13">
        <v>45934</v>
      </c>
      <c r="E522" s="13">
        <v>45939</v>
      </c>
      <c r="F522" s="13">
        <v>45943</v>
      </c>
      <c r="G522" s="13">
        <v>45950</v>
      </c>
      <c r="H522" s="3" t="s">
        <v>13</v>
      </c>
      <c r="J522" s="4">
        <v>45978</v>
      </c>
      <c r="K522" s="3">
        <v>7</v>
      </c>
      <c r="L522" s="18">
        <f t="shared" si="33"/>
        <v>5</v>
      </c>
      <c r="M522">
        <f t="shared" si="34"/>
        <v>4</v>
      </c>
      <c r="N522">
        <f t="shared" si="35"/>
        <v>7</v>
      </c>
      <c r="O522" t="str">
        <f t="shared" si="36"/>
        <v>Passive</v>
      </c>
    </row>
    <row r="523" spans="1:15" ht="14.25" customHeight="1" x14ac:dyDescent="0.3">
      <c r="A523" s="3" t="s">
        <v>542</v>
      </c>
      <c r="B523" s="3" t="s">
        <v>1022</v>
      </c>
      <c r="C523" s="3" t="s">
        <v>12</v>
      </c>
      <c r="D523" s="13">
        <v>45947</v>
      </c>
      <c r="E523" s="13">
        <v>45948</v>
      </c>
      <c r="F523" s="13">
        <v>45950</v>
      </c>
      <c r="G523" s="13">
        <v>45955</v>
      </c>
      <c r="H523" s="3" t="s">
        <v>13</v>
      </c>
      <c r="J523" s="4">
        <v>45971</v>
      </c>
      <c r="K523" s="3">
        <v>4</v>
      </c>
      <c r="L523" s="18">
        <f t="shared" si="33"/>
        <v>1</v>
      </c>
      <c r="M523">
        <f t="shared" si="34"/>
        <v>2</v>
      </c>
      <c r="N523">
        <f t="shared" si="35"/>
        <v>5</v>
      </c>
      <c r="O523" t="str">
        <f t="shared" si="36"/>
        <v>Detractor</v>
      </c>
    </row>
    <row r="524" spans="1:15" ht="14.25" customHeight="1" x14ac:dyDescent="0.3">
      <c r="A524" s="3" t="s">
        <v>543</v>
      </c>
      <c r="B524" s="3" t="s">
        <v>1021</v>
      </c>
      <c r="C524" s="3" t="s">
        <v>16</v>
      </c>
      <c r="D524" s="13">
        <v>45960</v>
      </c>
      <c r="H524" s="3" t="s">
        <v>17</v>
      </c>
      <c r="I524" s="3" t="s">
        <v>94</v>
      </c>
      <c r="M524">
        <f t="shared" si="34"/>
        <v>0</v>
      </c>
      <c r="N524">
        <f t="shared" si="35"/>
        <v>0</v>
      </c>
      <c r="O524" t="str">
        <f t="shared" si="36"/>
        <v>Detractor</v>
      </c>
    </row>
    <row r="525" spans="1:15" ht="14.25" customHeight="1" x14ac:dyDescent="0.3">
      <c r="A525" s="3" t="s">
        <v>544</v>
      </c>
      <c r="B525" s="3" t="s">
        <v>1023</v>
      </c>
      <c r="C525" s="3" t="s">
        <v>12</v>
      </c>
      <c r="D525" s="13">
        <v>45945</v>
      </c>
      <c r="E525" s="13">
        <v>45950</v>
      </c>
      <c r="F525" s="13">
        <v>45955</v>
      </c>
      <c r="G525" s="13">
        <v>45957</v>
      </c>
      <c r="H525" s="3" t="s">
        <v>13</v>
      </c>
      <c r="J525" s="4">
        <v>45974</v>
      </c>
      <c r="K525" s="3">
        <v>4</v>
      </c>
      <c r="L525" s="18">
        <f t="shared" si="33"/>
        <v>5</v>
      </c>
      <c r="M525">
        <f t="shared" si="34"/>
        <v>5</v>
      </c>
      <c r="N525">
        <f t="shared" si="35"/>
        <v>2</v>
      </c>
      <c r="O525" t="str">
        <f t="shared" si="36"/>
        <v>Detractor</v>
      </c>
    </row>
    <row r="526" spans="1:15" ht="14.25" customHeight="1" x14ac:dyDescent="0.3">
      <c r="A526" s="3" t="s">
        <v>545</v>
      </c>
      <c r="B526" s="3" t="s">
        <v>1022</v>
      </c>
      <c r="C526" s="3" t="s">
        <v>12</v>
      </c>
      <c r="D526" s="13">
        <v>45931</v>
      </c>
      <c r="E526" s="13">
        <v>45936</v>
      </c>
      <c r="F526" s="13">
        <v>45939</v>
      </c>
      <c r="G526" s="13">
        <v>45946</v>
      </c>
      <c r="H526" s="3" t="s">
        <v>13</v>
      </c>
      <c r="J526" s="4">
        <v>45976</v>
      </c>
      <c r="K526" s="3">
        <v>8</v>
      </c>
      <c r="L526" s="18">
        <f t="shared" si="33"/>
        <v>5</v>
      </c>
      <c r="M526">
        <f t="shared" si="34"/>
        <v>3</v>
      </c>
      <c r="N526">
        <f t="shared" si="35"/>
        <v>7</v>
      </c>
      <c r="O526" t="str">
        <f t="shared" si="36"/>
        <v>Passive</v>
      </c>
    </row>
    <row r="527" spans="1:15" ht="14.25" customHeight="1" x14ac:dyDescent="0.3">
      <c r="A527" s="3" t="s">
        <v>546</v>
      </c>
      <c r="B527" s="3" t="s">
        <v>1021</v>
      </c>
      <c r="C527" s="3" t="s">
        <v>24</v>
      </c>
      <c r="D527" s="13">
        <v>45954</v>
      </c>
      <c r="E527" s="13">
        <v>45956</v>
      </c>
      <c r="F527" s="13">
        <v>45959</v>
      </c>
      <c r="G527" s="13">
        <v>45965</v>
      </c>
      <c r="H527" s="3" t="s">
        <v>13</v>
      </c>
      <c r="J527" s="4">
        <v>45982</v>
      </c>
      <c r="K527" s="3">
        <v>8</v>
      </c>
      <c r="L527" s="18">
        <f t="shared" si="33"/>
        <v>2</v>
      </c>
      <c r="M527">
        <f t="shared" si="34"/>
        <v>3</v>
      </c>
      <c r="N527">
        <f t="shared" si="35"/>
        <v>6</v>
      </c>
      <c r="O527" t="str">
        <f t="shared" si="36"/>
        <v>Passive</v>
      </c>
    </row>
    <row r="528" spans="1:15" ht="14.25" customHeight="1" x14ac:dyDescent="0.3">
      <c r="A528" s="3" t="s">
        <v>547</v>
      </c>
      <c r="B528" s="3" t="s">
        <v>1022</v>
      </c>
      <c r="C528" s="3" t="s">
        <v>12</v>
      </c>
      <c r="D528" s="13">
        <v>45935</v>
      </c>
      <c r="E528" s="13">
        <v>45937</v>
      </c>
      <c r="F528" s="13">
        <v>45941</v>
      </c>
      <c r="G528" s="13">
        <v>45947</v>
      </c>
      <c r="H528" s="3" t="s">
        <v>13</v>
      </c>
      <c r="J528" s="4">
        <v>45963</v>
      </c>
      <c r="K528" s="3">
        <v>6</v>
      </c>
      <c r="L528" s="18">
        <f t="shared" si="33"/>
        <v>2</v>
      </c>
      <c r="M528">
        <f t="shared" si="34"/>
        <v>4</v>
      </c>
      <c r="N528">
        <f t="shared" si="35"/>
        <v>6</v>
      </c>
      <c r="O528" t="str">
        <f t="shared" si="36"/>
        <v>Detractor</v>
      </c>
    </row>
    <row r="529" spans="1:15" ht="14.25" customHeight="1" x14ac:dyDescent="0.3">
      <c r="A529" s="3" t="s">
        <v>548</v>
      </c>
      <c r="B529" s="3" t="s">
        <v>1022</v>
      </c>
      <c r="C529" s="3" t="s">
        <v>12</v>
      </c>
      <c r="D529" s="13">
        <v>45944</v>
      </c>
      <c r="E529" s="13">
        <v>45947</v>
      </c>
      <c r="F529" s="13">
        <v>45951</v>
      </c>
      <c r="G529" s="13">
        <v>45957</v>
      </c>
      <c r="H529" s="3" t="s">
        <v>13</v>
      </c>
      <c r="J529" s="4">
        <v>45975</v>
      </c>
      <c r="K529" s="3">
        <v>4</v>
      </c>
      <c r="L529" s="18">
        <f t="shared" si="33"/>
        <v>3</v>
      </c>
      <c r="M529">
        <f t="shared" si="34"/>
        <v>4</v>
      </c>
      <c r="N529">
        <f t="shared" si="35"/>
        <v>6</v>
      </c>
      <c r="O529" t="str">
        <f t="shared" si="36"/>
        <v>Detractor</v>
      </c>
    </row>
    <row r="530" spans="1:15" ht="14.25" customHeight="1" x14ac:dyDescent="0.3">
      <c r="A530" s="3" t="s">
        <v>549</v>
      </c>
      <c r="B530" s="3" t="s">
        <v>1021</v>
      </c>
      <c r="C530" s="3" t="s">
        <v>16</v>
      </c>
      <c r="D530" s="13">
        <v>45958</v>
      </c>
      <c r="H530" s="3" t="s">
        <v>17</v>
      </c>
      <c r="I530" s="3" t="s">
        <v>56</v>
      </c>
      <c r="M530">
        <f t="shared" si="34"/>
        <v>0</v>
      </c>
      <c r="N530">
        <f t="shared" si="35"/>
        <v>0</v>
      </c>
      <c r="O530" t="str">
        <f t="shared" si="36"/>
        <v>Detractor</v>
      </c>
    </row>
    <row r="531" spans="1:15" ht="14.25" customHeight="1" x14ac:dyDescent="0.3">
      <c r="A531" s="3" t="s">
        <v>550</v>
      </c>
      <c r="B531" s="3" t="s">
        <v>1023</v>
      </c>
      <c r="C531" s="3" t="s">
        <v>16</v>
      </c>
      <c r="D531" s="13">
        <v>45951</v>
      </c>
      <c r="H531" s="3" t="s">
        <v>17</v>
      </c>
      <c r="I531" s="3" t="s">
        <v>20</v>
      </c>
      <c r="M531">
        <f t="shared" si="34"/>
        <v>0</v>
      </c>
      <c r="N531">
        <f t="shared" si="35"/>
        <v>0</v>
      </c>
      <c r="O531" t="str">
        <f t="shared" si="36"/>
        <v>Detractor</v>
      </c>
    </row>
    <row r="532" spans="1:15" ht="14.25" customHeight="1" x14ac:dyDescent="0.3">
      <c r="A532" s="3" t="s">
        <v>551</v>
      </c>
      <c r="B532" s="3" t="s">
        <v>1023</v>
      </c>
      <c r="C532" s="3" t="s">
        <v>12</v>
      </c>
      <c r="D532" s="13">
        <v>45935</v>
      </c>
      <c r="E532" s="13">
        <v>45939</v>
      </c>
      <c r="F532" s="13">
        <v>45944</v>
      </c>
      <c r="G532" s="13">
        <v>45947</v>
      </c>
      <c r="H532" s="3" t="s">
        <v>13</v>
      </c>
      <c r="J532" s="4">
        <v>45977</v>
      </c>
      <c r="K532" s="3">
        <v>2</v>
      </c>
      <c r="L532" s="18">
        <f t="shared" si="33"/>
        <v>4</v>
      </c>
      <c r="M532">
        <f t="shared" si="34"/>
        <v>5</v>
      </c>
      <c r="N532">
        <f t="shared" si="35"/>
        <v>3</v>
      </c>
      <c r="O532" t="str">
        <f t="shared" si="36"/>
        <v>Detractor</v>
      </c>
    </row>
    <row r="533" spans="1:15" ht="14.25" customHeight="1" x14ac:dyDescent="0.3">
      <c r="A533" s="3" t="s">
        <v>552</v>
      </c>
      <c r="B533" s="3" t="s">
        <v>1024</v>
      </c>
      <c r="C533" s="3" t="s">
        <v>24</v>
      </c>
      <c r="D533" s="13">
        <v>45933</v>
      </c>
      <c r="E533" s="13">
        <v>45934</v>
      </c>
      <c r="F533" s="13">
        <v>45937</v>
      </c>
      <c r="G533" s="13">
        <v>45941</v>
      </c>
      <c r="H533" s="3" t="s">
        <v>13</v>
      </c>
      <c r="J533" s="4">
        <v>45964</v>
      </c>
      <c r="K533" s="3">
        <v>2</v>
      </c>
      <c r="L533" s="18">
        <f t="shared" si="33"/>
        <v>1</v>
      </c>
      <c r="M533">
        <f t="shared" si="34"/>
        <v>3</v>
      </c>
      <c r="N533">
        <f t="shared" si="35"/>
        <v>4</v>
      </c>
      <c r="O533" t="str">
        <f t="shared" si="36"/>
        <v>Detractor</v>
      </c>
    </row>
    <row r="534" spans="1:15" ht="14.25" customHeight="1" x14ac:dyDescent="0.3">
      <c r="A534" s="3" t="s">
        <v>553</v>
      </c>
      <c r="B534" s="3" t="s">
        <v>1021</v>
      </c>
      <c r="C534" s="3" t="s">
        <v>16</v>
      </c>
      <c r="D534" s="13">
        <v>45946</v>
      </c>
      <c r="H534" s="3" t="s">
        <v>17</v>
      </c>
      <c r="I534" s="3" t="s">
        <v>20</v>
      </c>
      <c r="M534">
        <f t="shared" si="34"/>
        <v>0</v>
      </c>
      <c r="N534">
        <f t="shared" si="35"/>
        <v>0</v>
      </c>
      <c r="O534" t="str">
        <f t="shared" si="36"/>
        <v>Detractor</v>
      </c>
    </row>
    <row r="535" spans="1:15" ht="14.25" customHeight="1" x14ac:dyDescent="0.3">
      <c r="A535" s="3" t="s">
        <v>554</v>
      </c>
      <c r="B535" s="3" t="s">
        <v>1024</v>
      </c>
      <c r="C535" s="3" t="s">
        <v>12</v>
      </c>
      <c r="D535" s="13">
        <v>45956</v>
      </c>
      <c r="E535" s="13">
        <v>45961</v>
      </c>
      <c r="F535" s="13">
        <v>45964</v>
      </c>
      <c r="G535" s="13">
        <v>45966</v>
      </c>
      <c r="H535" s="3" t="s">
        <v>13</v>
      </c>
      <c r="J535" s="4">
        <v>45992</v>
      </c>
      <c r="K535" s="3">
        <v>1</v>
      </c>
      <c r="L535" s="18">
        <f t="shared" si="33"/>
        <v>5</v>
      </c>
      <c r="M535">
        <f t="shared" si="34"/>
        <v>3</v>
      </c>
      <c r="N535">
        <f t="shared" si="35"/>
        <v>2</v>
      </c>
      <c r="O535" t="str">
        <f t="shared" si="36"/>
        <v>Detractor</v>
      </c>
    </row>
    <row r="536" spans="1:15" ht="14.25" customHeight="1" x14ac:dyDescent="0.3">
      <c r="A536" s="3" t="s">
        <v>555</v>
      </c>
      <c r="B536" s="3" t="s">
        <v>1024</v>
      </c>
      <c r="C536" s="3" t="s">
        <v>24</v>
      </c>
      <c r="D536" s="13">
        <v>45939</v>
      </c>
      <c r="E536" s="13">
        <v>45942</v>
      </c>
      <c r="F536" s="13">
        <v>45945</v>
      </c>
      <c r="G536" s="13">
        <v>45949</v>
      </c>
      <c r="H536" s="3" t="s">
        <v>13</v>
      </c>
      <c r="J536" s="4">
        <v>45959</v>
      </c>
      <c r="K536" s="3">
        <v>0</v>
      </c>
      <c r="L536" s="18">
        <f t="shared" si="33"/>
        <v>3</v>
      </c>
      <c r="M536">
        <f t="shared" si="34"/>
        <v>3</v>
      </c>
      <c r="N536">
        <f t="shared" si="35"/>
        <v>4</v>
      </c>
      <c r="O536" t="str">
        <f t="shared" si="36"/>
        <v>Detractor</v>
      </c>
    </row>
    <row r="537" spans="1:15" ht="14.25" customHeight="1" x14ac:dyDescent="0.3">
      <c r="A537" s="3" t="s">
        <v>556</v>
      </c>
      <c r="B537" s="3" t="s">
        <v>1024</v>
      </c>
      <c r="C537" s="3" t="s">
        <v>24</v>
      </c>
      <c r="D537" s="13">
        <v>45941</v>
      </c>
      <c r="E537" s="13">
        <v>45943</v>
      </c>
      <c r="F537" s="13">
        <v>45946</v>
      </c>
      <c r="G537" s="13">
        <v>45948</v>
      </c>
      <c r="H537" s="3" t="s">
        <v>17</v>
      </c>
      <c r="I537" s="3" t="s">
        <v>56</v>
      </c>
      <c r="L537" s="18">
        <f t="shared" si="33"/>
        <v>2</v>
      </c>
      <c r="M537">
        <f t="shared" si="34"/>
        <v>3</v>
      </c>
      <c r="N537">
        <f t="shared" si="35"/>
        <v>2</v>
      </c>
      <c r="O537" t="str">
        <f t="shared" si="36"/>
        <v>Detractor</v>
      </c>
    </row>
    <row r="538" spans="1:15" ht="14.25" customHeight="1" x14ac:dyDescent="0.3">
      <c r="A538" s="3" t="s">
        <v>557</v>
      </c>
      <c r="B538" s="3" t="s">
        <v>1023</v>
      </c>
      <c r="C538" s="3" t="s">
        <v>12</v>
      </c>
      <c r="D538" s="13">
        <v>45950</v>
      </c>
      <c r="E538" s="13">
        <v>45955</v>
      </c>
      <c r="F538" s="13">
        <v>45960</v>
      </c>
      <c r="G538" s="13">
        <v>45966</v>
      </c>
      <c r="H538" s="3" t="s">
        <v>13</v>
      </c>
      <c r="J538" s="4">
        <v>45976</v>
      </c>
      <c r="K538" s="3">
        <v>0</v>
      </c>
      <c r="L538" s="18">
        <f t="shared" si="33"/>
        <v>5</v>
      </c>
      <c r="M538">
        <f t="shared" si="34"/>
        <v>5</v>
      </c>
      <c r="N538">
        <f t="shared" si="35"/>
        <v>6</v>
      </c>
      <c r="O538" t="str">
        <f t="shared" si="36"/>
        <v>Detractor</v>
      </c>
    </row>
    <row r="539" spans="1:15" ht="14.25" customHeight="1" x14ac:dyDescent="0.3">
      <c r="A539" s="3" t="s">
        <v>558</v>
      </c>
      <c r="B539" s="3" t="s">
        <v>1021</v>
      </c>
      <c r="C539" s="3" t="s">
        <v>24</v>
      </c>
      <c r="D539" s="13">
        <v>45953</v>
      </c>
      <c r="E539" s="13">
        <v>45957</v>
      </c>
      <c r="F539" s="13">
        <v>45961</v>
      </c>
      <c r="G539" s="13">
        <v>45964</v>
      </c>
      <c r="H539" s="3" t="s">
        <v>13</v>
      </c>
      <c r="J539" s="4">
        <v>45989</v>
      </c>
      <c r="K539" s="3">
        <v>3</v>
      </c>
      <c r="L539" s="18">
        <f t="shared" si="33"/>
        <v>4</v>
      </c>
      <c r="M539">
        <f t="shared" si="34"/>
        <v>4</v>
      </c>
      <c r="N539">
        <f t="shared" si="35"/>
        <v>3</v>
      </c>
      <c r="O539" t="str">
        <f t="shared" si="36"/>
        <v>Detractor</v>
      </c>
    </row>
    <row r="540" spans="1:15" ht="14.25" customHeight="1" x14ac:dyDescent="0.3">
      <c r="A540" s="3" t="s">
        <v>559</v>
      </c>
      <c r="B540" s="3" t="s">
        <v>1024</v>
      </c>
      <c r="C540" s="3" t="s">
        <v>16</v>
      </c>
      <c r="D540" s="13">
        <v>45943</v>
      </c>
      <c r="H540" s="3" t="s">
        <v>17</v>
      </c>
      <c r="I540" s="3" t="s">
        <v>20</v>
      </c>
      <c r="M540">
        <f t="shared" si="34"/>
        <v>0</v>
      </c>
      <c r="N540">
        <f t="shared" si="35"/>
        <v>0</v>
      </c>
      <c r="O540" t="str">
        <f t="shared" si="36"/>
        <v>Detractor</v>
      </c>
    </row>
    <row r="541" spans="1:15" ht="14.25" customHeight="1" x14ac:dyDescent="0.3">
      <c r="A541" s="3" t="s">
        <v>560</v>
      </c>
      <c r="B541" s="3" t="s">
        <v>1021</v>
      </c>
      <c r="C541" s="3" t="s">
        <v>12</v>
      </c>
      <c r="D541" s="13">
        <v>45951</v>
      </c>
      <c r="E541" s="13">
        <v>45953</v>
      </c>
      <c r="F541" s="13">
        <v>45957</v>
      </c>
      <c r="G541" s="13">
        <v>45960</v>
      </c>
      <c r="H541" s="3" t="s">
        <v>17</v>
      </c>
      <c r="I541" s="3" t="s">
        <v>94</v>
      </c>
      <c r="L541" s="18">
        <f t="shared" si="33"/>
        <v>2</v>
      </c>
      <c r="M541">
        <f t="shared" si="34"/>
        <v>4</v>
      </c>
      <c r="N541">
        <f t="shared" si="35"/>
        <v>3</v>
      </c>
      <c r="O541" t="str">
        <f t="shared" si="36"/>
        <v>Detractor</v>
      </c>
    </row>
    <row r="542" spans="1:15" ht="14.25" customHeight="1" x14ac:dyDescent="0.3">
      <c r="A542" s="3" t="s">
        <v>561</v>
      </c>
      <c r="B542" s="3" t="s">
        <v>1021</v>
      </c>
      <c r="C542" s="3" t="s">
        <v>24</v>
      </c>
      <c r="D542" s="13">
        <v>45933</v>
      </c>
      <c r="E542" s="13">
        <v>45934</v>
      </c>
      <c r="F542" s="13">
        <v>45935</v>
      </c>
      <c r="G542" s="13">
        <v>45941</v>
      </c>
      <c r="H542" s="3" t="s">
        <v>13</v>
      </c>
      <c r="J542" s="4">
        <v>45955</v>
      </c>
      <c r="K542" s="3">
        <v>9</v>
      </c>
      <c r="L542" s="18">
        <f t="shared" si="33"/>
        <v>1</v>
      </c>
      <c r="M542">
        <f t="shared" si="34"/>
        <v>1</v>
      </c>
      <c r="N542">
        <f t="shared" si="35"/>
        <v>6</v>
      </c>
      <c r="O542" t="str">
        <f t="shared" si="36"/>
        <v>Promoter</v>
      </c>
    </row>
    <row r="543" spans="1:15" ht="14.25" customHeight="1" x14ac:dyDescent="0.3">
      <c r="A543" s="3" t="s">
        <v>562</v>
      </c>
      <c r="B543" s="3" t="s">
        <v>1023</v>
      </c>
      <c r="C543" s="3" t="s">
        <v>16</v>
      </c>
      <c r="D543" s="13">
        <v>45958</v>
      </c>
      <c r="H543" s="3" t="s">
        <v>17</v>
      </c>
      <c r="I543" s="3" t="s">
        <v>94</v>
      </c>
      <c r="M543">
        <f t="shared" si="34"/>
        <v>0</v>
      </c>
      <c r="N543">
        <f t="shared" si="35"/>
        <v>0</v>
      </c>
      <c r="O543" t="str">
        <f t="shared" si="36"/>
        <v>Detractor</v>
      </c>
    </row>
    <row r="544" spans="1:15" ht="14.25" customHeight="1" x14ac:dyDescent="0.3">
      <c r="A544" s="3" t="s">
        <v>563</v>
      </c>
      <c r="B544" s="3" t="s">
        <v>1024</v>
      </c>
      <c r="C544" s="3" t="s">
        <v>12</v>
      </c>
      <c r="D544" s="13">
        <v>45941</v>
      </c>
      <c r="E544" s="13">
        <v>45946</v>
      </c>
      <c r="F544" s="13">
        <v>45950</v>
      </c>
      <c r="G544" s="13">
        <v>45954</v>
      </c>
      <c r="H544" s="3" t="s">
        <v>13</v>
      </c>
      <c r="J544" s="4">
        <v>45984</v>
      </c>
      <c r="K544" s="3">
        <v>9</v>
      </c>
      <c r="L544" s="18">
        <f t="shared" si="33"/>
        <v>5</v>
      </c>
      <c r="M544">
        <f t="shared" si="34"/>
        <v>4</v>
      </c>
      <c r="N544">
        <f t="shared" si="35"/>
        <v>4</v>
      </c>
      <c r="O544" t="str">
        <f t="shared" si="36"/>
        <v>Promoter</v>
      </c>
    </row>
    <row r="545" spans="1:15" ht="14.25" customHeight="1" x14ac:dyDescent="0.3">
      <c r="A545" s="3" t="s">
        <v>564</v>
      </c>
      <c r="B545" s="3" t="s">
        <v>1024</v>
      </c>
      <c r="C545" s="3" t="s">
        <v>12</v>
      </c>
      <c r="D545" s="13">
        <v>45958</v>
      </c>
      <c r="E545" s="13">
        <v>45961</v>
      </c>
      <c r="F545" s="13">
        <v>45964</v>
      </c>
      <c r="G545" s="13">
        <v>45969</v>
      </c>
      <c r="H545" s="3" t="s">
        <v>13</v>
      </c>
      <c r="J545" s="4">
        <v>45984</v>
      </c>
      <c r="K545" s="3">
        <v>4</v>
      </c>
      <c r="L545" s="18">
        <f t="shared" si="33"/>
        <v>3</v>
      </c>
      <c r="M545">
        <f t="shared" si="34"/>
        <v>3</v>
      </c>
      <c r="N545">
        <f t="shared" si="35"/>
        <v>5</v>
      </c>
      <c r="O545" t="str">
        <f t="shared" si="36"/>
        <v>Detractor</v>
      </c>
    </row>
    <row r="546" spans="1:15" ht="14.25" customHeight="1" x14ac:dyDescent="0.3">
      <c r="A546" s="3" t="s">
        <v>565</v>
      </c>
      <c r="B546" s="3" t="s">
        <v>1021</v>
      </c>
      <c r="C546" s="3" t="s">
        <v>24</v>
      </c>
      <c r="D546" s="13">
        <v>45952</v>
      </c>
      <c r="E546" s="13">
        <v>45953</v>
      </c>
      <c r="F546" s="13">
        <v>45955</v>
      </c>
      <c r="G546" s="13">
        <v>45961</v>
      </c>
      <c r="H546" s="3" t="s">
        <v>13</v>
      </c>
      <c r="J546" s="4">
        <v>45990</v>
      </c>
      <c r="K546" s="3">
        <v>1</v>
      </c>
      <c r="L546" s="18">
        <f t="shared" si="33"/>
        <v>1</v>
      </c>
      <c r="M546">
        <f t="shared" si="34"/>
        <v>2</v>
      </c>
      <c r="N546">
        <f t="shared" si="35"/>
        <v>6</v>
      </c>
      <c r="O546" t="str">
        <f t="shared" si="36"/>
        <v>Detractor</v>
      </c>
    </row>
    <row r="547" spans="1:15" ht="14.25" customHeight="1" x14ac:dyDescent="0.3">
      <c r="A547" s="3" t="s">
        <v>566</v>
      </c>
      <c r="B547" s="3" t="s">
        <v>1022</v>
      </c>
      <c r="C547" s="3" t="s">
        <v>24</v>
      </c>
      <c r="D547" s="13">
        <v>45958</v>
      </c>
      <c r="E547" s="13">
        <v>45963</v>
      </c>
      <c r="F547" s="13">
        <v>45966</v>
      </c>
      <c r="G547" s="13">
        <v>45973</v>
      </c>
      <c r="H547" s="3" t="s">
        <v>13</v>
      </c>
      <c r="J547" s="4">
        <v>45983</v>
      </c>
      <c r="K547" s="3">
        <v>6</v>
      </c>
      <c r="L547" s="18">
        <f t="shared" si="33"/>
        <v>5</v>
      </c>
      <c r="M547">
        <f t="shared" si="34"/>
        <v>3</v>
      </c>
      <c r="N547">
        <f t="shared" si="35"/>
        <v>7</v>
      </c>
      <c r="O547" t="str">
        <f t="shared" si="36"/>
        <v>Detractor</v>
      </c>
    </row>
    <row r="548" spans="1:15" ht="14.25" customHeight="1" x14ac:dyDescent="0.3">
      <c r="A548" s="3" t="s">
        <v>567</v>
      </c>
      <c r="B548" s="3" t="s">
        <v>1023</v>
      </c>
      <c r="C548" s="3" t="s">
        <v>12</v>
      </c>
      <c r="D548" s="13">
        <v>45948</v>
      </c>
      <c r="E548" s="13">
        <v>45953</v>
      </c>
      <c r="F548" s="13">
        <v>45956</v>
      </c>
      <c r="G548" s="13">
        <v>45963</v>
      </c>
      <c r="H548" s="3" t="s">
        <v>13</v>
      </c>
      <c r="J548" s="4">
        <v>45980</v>
      </c>
      <c r="K548" s="3">
        <v>3</v>
      </c>
      <c r="L548" s="18">
        <f t="shared" si="33"/>
        <v>5</v>
      </c>
      <c r="M548">
        <f t="shared" si="34"/>
        <v>3</v>
      </c>
      <c r="N548">
        <f t="shared" si="35"/>
        <v>7</v>
      </c>
      <c r="O548" t="str">
        <f t="shared" si="36"/>
        <v>Detractor</v>
      </c>
    </row>
    <row r="549" spans="1:15" ht="14.25" customHeight="1" x14ac:dyDescent="0.3">
      <c r="A549" s="3" t="s">
        <v>568</v>
      </c>
      <c r="B549" s="3" t="s">
        <v>1023</v>
      </c>
      <c r="C549" s="3" t="s">
        <v>12</v>
      </c>
      <c r="D549" s="13">
        <v>45943</v>
      </c>
      <c r="E549" s="13">
        <v>45948</v>
      </c>
      <c r="F549" s="13">
        <v>45952</v>
      </c>
      <c r="G549" s="13">
        <v>45959</v>
      </c>
      <c r="H549" s="3" t="s">
        <v>13</v>
      </c>
      <c r="J549" s="4">
        <v>45977</v>
      </c>
      <c r="K549" s="3">
        <v>4</v>
      </c>
      <c r="L549" s="18">
        <f t="shared" si="33"/>
        <v>5</v>
      </c>
      <c r="M549">
        <f t="shared" si="34"/>
        <v>4</v>
      </c>
      <c r="N549">
        <f t="shared" si="35"/>
        <v>7</v>
      </c>
      <c r="O549" t="str">
        <f t="shared" si="36"/>
        <v>Detractor</v>
      </c>
    </row>
    <row r="550" spans="1:15" ht="14.25" customHeight="1" x14ac:dyDescent="0.3">
      <c r="A550" s="3" t="s">
        <v>569</v>
      </c>
      <c r="B550" s="3" t="s">
        <v>1023</v>
      </c>
      <c r="C550" s="3" t="s">
        <v>12</v>
      </c>
      <c r="D550" s="13">
        <v>45961</v>
      </c>
      <c r="E550" s="13">
        <v>45966</v>
      </c>
      <c r="F550" s="13">
        <v>45967</v>
      </c>
      <c r="G550" s="13">
        <v>45974</v>
      </c>
      <c r="H550" s="3" t="s">
        <v>13</v>
      </c>
      <c r="J550" s="4">
        <v>46003</v>
      </c>
      <c r="K550" s="3">
        <v>6</v>
      </c>
      <c r="L550" s="18">
        <f t="shared" si="33"/>
        <v>5</v>
      </c>
      <c r="M550">
        <f t="shared" si="34"/>
        <v>1</v>
      </c>
      <c r="N550">
        <f t="shared" si="35"/>
        <v>7</v>
      </c>
      <c r="O550" t="str">
        <f t="shared" si="36"/>
        <v>Detractor</v>
      </c>
    </row>
    <row r="551" spans="1:15" ht="14.25" customHeight="1" x14ac:dyDescent="0.3">
      <c r="A551" s="3" t="s">
        <v>570</v>
      </c>
      <c r="B551" s="3" t="s">
        <v>1023</v>
      </c>
      <c r="C551" s="3" t="s">
        <v>12</v>
      </c>
      <c r="D551" s="13">
        <v>45941</v>
      </c>
      <c r="E551" s="13">
        <v>45946</v>
      </c>
      <c r="F551" s="13">
        <v>45951</v>
      </c>
      <c r="G551" s="13">
        <v>45953</v>
      </c>
      <c r="H551" s="3" t="s">
        <v>13</v>
      </c>
      <c r="J551" s="4">
        <v>45972</v>
      </c>
      <c r="K551" s="3">
        <v>5</v>
      </c>
      <c r="L551" s="18">
        <f t="shared" si="33"/>
        <v>5</v>
      </c>
      <c r="M551">
        <f t="shared" si="34"/>
        <v>5</v>
      </c>
      <c r="N551">
        <f t="shared" si="35"/>
        <v>2</v>
      </c>
      <c r="O551" t="str">
        <f t="shared" si="36"/>
        <v>Detractor</v>
      </c>
    </row>
    <row r="552" spans="1:15" ht="14.25" customHeight="1" x14ac:dyDescent="0.3">
      <c r="A552" s="3" t="s">
        <v>571</v>
      </c>
      <c r="B552" s="3" t="s">
        <v>1024</v>
      </c>
      <c r="C552" s="3" t="s">
        <v>12</v>
      </c>
      <c r="D552" s="13">
        <v>45951</v>
      </c>
      <c r="E552" s="13">
        <v>45952</v>
      </c>
      <c r="F552" s="13">
        <v>45954</v>
      </c>
      <c r="G552" s="13">
        <v>45958</v>
      </c>
      <c r="H552" s="3" t="s">
        <v>13</v>
      </c>
      <c r="J552" s="4">
        <v>45988</v>
      </c>
      <c r="K552" s="3">
        <v>3</v>
      </c>
      <c r="L552" s="18">
        <f t="shared" si="33"/>
        <v>1</v>
      </c>
      <c r="M552">
        <f t="shared" si="34"/>
        <v>2</v>
      </c>
      <c r="N552">
        <f t="shared" si="35"/>
        <v>4</v>
      </c>
      <c r="O552" t="str">
        <f t="shared" si="36"/>
        <v>Detractor</v>
      </c>
    </row>
    <row r="553" spans="1:15" ht="14.25" customHeight="1" x14ac:dyDescent="0.3">
      <c r="A553" s="3" t="s">
        <v>572</v>
      </c>
      <c r="B553" s="3" t="s">
        <v>1024</v>
      </c>
      <c r="C553" s="3" t="s">
        <v>24</v>
      </c>
      <c r="D553" s="13">
        <v>45953</v>
      </c>
      <c r="E553" s="13">
        <v>45957</v>
      </c>
      <c r="F553" s="13">
        <v>45959</v>
      </c>
      <c r="G553" s="13">
        <v>45966</v>
      </c>
      <c r="H553" s="3" t="s">
        <v>13</v>
      </c>
      <c r="J553" s="4">
        <v>45984</v>
      </c>
      <c r="K553" s="3">
        <v>3</v>
      </c>
      <c r="L553" s="18">
        <f t="shared" si="33"/>
        <v>4</v>
      </c>
      <c r="M553">
        <f t="shared" si="34"/>
        <v>2</v>
      </c>
      <c r="N553">
        <f t="shared" si="35"/>
        <v>7</v>
      </c>
      <c r="O553" t="str">
        <f t="shared" si="36"/>
        <v>Detractor</v>
      </c>
    </row>
    <row r="554" spans="1:15" ht="14.25" customHeight="1" x14ac:dyDescent="0.3">
      <c r="A554" s="3" t="s">
        <v>573</v>
      </c>
      <c r="B554" s="3" t="s">
        <v>1022</v>
      </c>
      <c r="C554" s="3" t="s">
        <v>12</v>
      </c>
      <c r="D554" s="13">
        <v>45959</v>
      </c>
      <c r="E554" s="13">
        <v>45963</v>
      </c>
      <c r="F554" s="13">
        <v>45964</v>
      </c>
      <c r="G554" s="13">
        <v>45969</v>
      </c>
      <c r="H554" s="3" t="s">
        <v>13</v>
      </c>
      <c r="J554" s="4">
        <v>45992</v>
      </c>
      <c r="K554" s="3">
        <v>9</v>
      </c>
      <c r="L554" s="18">
        <f t="shared" si="33"/>
        <v>4</v>
      </c>
      <c r="M554">
        <f t="shared" si="34"/>
        <v>1</v>
      </c>
      <c r="N554">
        <f t="shared" si="35"/>
        <v>5</v>
      </c>
      <c r="O554" t="str">
        <f t="shared" si="36"/>
        <v>Promoter</v>
      </c>
    </row>
    <row r="555" spans="1:15" ht="14.25" customHeight="1" x14ac:dyDescent="0.3">
      <c r="A555" s="3" t="s">
        <v>574</v>
      </c>
      <c r="B555" s="3" t="s">
        <v>1023</v>
      </c>
      <c r="C555" s="3" t="s">
        <v>16</v>
      </c>
      <c r="D555" s="13">
        <v>45955</v>
      </c>
      <c r="H555" s="3" t="s">
        <v>17</v>
      </c>
      <c r="I555" s="3" t="s">
        <v>56</v>
      </c>
      <c r="M555">
        <f t="shared" si="34"/>
        <v>0</v>
      </c>
      <c r="N555">
        <f t="shared" si="35"/>
        <v>0</v>
      </c>
      <c r="O555" t="str">
        <f t="shared" si="36"/>
        <v>Detractor</v>
      </c>
    </row>
    <row r="556" spans="1:15" ht="14.25" customHeight="1" x14ac:dyDescent="0.3">
      <c r="A556" s="3" t="s">
        <v>575</v>
      </c>
      <c r="B556" s="3" t="s">
        <v>1023</v>
      </c>
      <c r="C556" s="3" t="s">
        <v>12</v>
      </c>
      <c r="D556" s="13">
        <v>45946</v>
      </c>
      <c r="E556" s="13">
        <v>45947</v>
      </c>
      <c r="F556" s="13">
        <v>45950</v>
      </c>
      <c r="G556" s="13">
        <v>45957</v>
      </c>
      <c r="H556" s="3" t="s">
        <v>13</v>
      </c>
      <c r="J556" s="4">
        <v>45979</v>
      </c>
      <c r="K556" s="3">
        <v>2</v>
      </c>
      <c r="L556" s="18">
        <f t="shared" si="33"/>
        <v>1</v>
      </c>
      <c r="M556">
        <f t="shared" si="34"/>
        <v>3</v>
      </c>
      <c r="N556">
        <f t="shared" si="35"/>
        <v>7</v>
      </c>
      <c r="O556" t="str">
        <f t="shared" si="36"/>
        <v>Detractor</v>
      </c>
    </row>
    <row r="557" spans="1:15" ht="14.25" customHeight="1" x14ac:dyDescent="0.3">
      <c r="A557" s="3" t="s">
        <v>576</v>
      </c>
      <c r="B557" s="3" t="s">
        <v>1021</v>
      </c>
      <c r="C557" s="3" t="s">
        <v>12</v>
      </c>
      <c r="D557" s="13">
        <v>45958</v>
      </c>
      <c r="E557" s="13">
        <v>45962</v>
      </c>
      <c r="F557" s="13">
        <v>45967</v>
      </c>
      <c r="G557" s="13">
        <v>45970</v>
      </c>
      <c r="H557" s="3" t="s">
        <v>13</v>
      </c>
      <c r="J557" s="4">
        <v>45991</v>
      </c>
      <c r="K557" s="3">
        <v>8</v>
      </c>
      <c r="L557" s="18">
        <f t="shared" si="33"/>
        <v>4</v>
      </c>
      <c r="M557">
        <f t="shared" si="34"/>
        <v>5</v>
      </c>
      <c r="N557">
        <f t="shared" si="35"/>
        <v>3</v>
      </c>
      <c r="O557" t="str">
        <f t="shared" si="36"/>
        <v>Passive</v>
      </c>
    </row>
    <row r="558" spans="1:15" ht="14.25" customHeight="1" x14ac:dyDescent="0.3">
      <c r="A558" s="3" t="s">
        <v>577</v>
      </c>
      <c r="B558" s="3" t="s">
        <v>1024</v>
      </c>
      <c r="C558" s="3" t="s">
        <v>24</v>
      </c>
      <c r="D558" s="13">
        <v>45948</v>
      </c>
      <c r="E558" s="13">
        <v>45951</v>
      </c>
      <c r="F558" s="13">
        <v>45956</v>
      </c>
      <c r="G558" s="13">
        <v>45958</v>
      </c>
      <c r="H558" s="3" t="s">
        <v>13</v>
      </c>
      <c r="J558" s="4">
        <v>45982</v>
      </c>
      <c r="K558" s="3">
        <v>1</v>
      </c>
      <c r="L558" s="18">
        <f t="shared" si="33"/>
        <v>3</v>
      </c>
      <c r="M558">
        <f t="shared" si="34"/>
        <v>5</v>
      </c>
      <c r="N558">
        <f t="shared" si="35"/>
        <v>2</v>
      </c>
      <c r="O558" t="str">
        <f t="shared" si="36"/>
        <v>Detractor</v>
      </c>
    </row>
    <row r="559" spans="1:15" ht="14.25" customHeight="1" x14ac:dyDescent="0.3">
      <c r="A559" s="3" t="s">
        <v>578</v>
      </c>
      <c r="B559" s="3" t="s">
        <v>1023</v>
      </c>
      <c r="C559" s="3" t="s">
        <v>12</v>
      </c>
      <c r="D559" s="13">
        <v>45932</v>
      </c>
      <c r="E559" s="13">
        <v>45935</v>
      </c>
      <c r="F559" s="13">
        <v>45940</v>
      </c>
      <c r="G559" s="13">
        <v>45943</v>
      </c>
      <c r="H559" s="3" t="s">
        <v>13</v>
      </c>
      <c r="J559" s="4">
        <v>45961</v>
      </c>
      <c r="K559" s="3">
        <v>2</v>
      </c>
      <c r="L559" s="18">
        <f t="shared" si="33"/>
        <v>3</v>
      </c>
      <c r="M559">
        <f t="shared" si="34"/>
        <v>5</v>
      </c>
      <c r="N559">
        <f t="shared" si="35"/>
        <v>3</v>
      </c>
      <c r="O559" t="str">
        <f t="shared" si="36"/>
        <v>Detractor</v>
      </c>
    </row>
    <row r="560" spans="1:15" ht="14.25" customHeight="1" x14ac:dyDescent="0.3">
      <c r="A560" s="3" t="s">
        <v>579</v>
      </c>
      <c r="B560" s="3" t="s">
        <v>1022</v>
      </c>
      <c r="C560" s="3" t="s">
        <v>12</v>
      </c>
      <c r="D560" s="13">
        <v>45950</v>
      </c>
      <c r="E560" s="13">
        <v>45951</v>
      </c>
      <c r="F560" s="13">
        <v>45955</v>
      </c>
      <c r="G560" s="13">
        <v>45957</v>
      </c>
      <c r="H560" s="3" t="s">
        <v>13</v>
      </c>
      <c r="J560" s="4">
        <v>45973</v>
      </c>
      <c r="K560" s="3">
        <v>6</v>
      </c>
      <c r="L560" s="18">
        <f t="shared" si="33"/>
        <v>1</v>
      </c>
      <c r="M560">
        <f t="shared" si="34"/>
        <v>4</v>
      </c>
      <c r="N560">
        <f t="shared" si="35"/>
        <v>2</v>
      </c>
      <c r="O560" t="str">
        <f t="shared" si="36"/>
        <v>Detractor</v>
      </c>
    </row>
    <row r="561" spans="1:15" ht="14.25" customHeight="1" x14ac:dyDescent="0.3">
      <c r="A561" s="3" t="s">
        <v>580</v>
      </c>
      <c r="B561" s="3" t="s">
        <v>1022</v>
      </c>
      <c r="C561" s="3" t="s">
        <v>16</v>
      </c>
      <c r="D561" s="13">
        <v>45933</v>
      </c>
      <c r="H561" s="3" t="s">
        <v>17</v>
      </c>
      <c r="I561" s="3" t="s">
        <v>20</v>
      </c>
      <c r="M561">
        <f t="shared" si="34"/>
        <v>0</v>
      </c>
      <c r="N561">
        <f t="shared" si="35"/>
        <v>0</v>
      </c>
      <c r="O561" t="str">
        <f t="shared" si="36"/>
        <v>Detractor</v>
      </c>
    </row>
    <row r="562" spans="1:15" ht="14.25" customHeight="1" x14ac:dyDescent="0.3">
      <c r="A562" s="3" t="s">
        <v>581</v>
      </c>
      <c r="B562" s="3" t="s">
        <v>1024</v>
      </c>
      <c r="C562" s="3" t="s">
        <v>12</v>
      </c>
      <c r="D562" s="13">
        <v>45938</v>
      </c>
      <c r="E562" s="13">
        <v>45941</v>
      </c>
      <c r="F562" s="13">
        <v>45944</v>
      </c>
      <c r="G562" s="13">
        <v>45949</v>
      </c>
      <c r="H562" s="3" t="s">
        <v>13</v>
      </c>
      <c r="J562" s="4">
        <v>45973</v>
      </c>
      <c r="K562" s="3">
        <v>6</v>
      </c>
      <c r="L562" s="18">
        <f t="shared" si="33"/>
        <v>3</v>
      </c>
      <c r="M562">
        <f t="shared" si="34"/>
        <v>3</v>
      </c>
      <c r="N562">
        <f t="shared" si="35"/>
        <v>5</v>
      </c>
      <c r="O562" t="str">
        <f t="shared" si="36"/>
        <v>Detractor</v>
      </c>
    </row>
    <row r="563" spans="1:15" ht="14.25" customHeight="1" x14ac:dyDescent="0.3">
      <c r="A563" s="3" t="s">
        <v>582</v>
      </c>
      <c r="B563" s="3" t="s">
        <v>1022</v>
      </c>
      <c r="C563" s="3" t="s">
        <v>16</v>
      </c>
      <c r="D563" s="13">
        <v>45951</v>
      </c>
      <c r="H563" s="3" t="s">
        <v>17</v>
      </c>
      <c r="I563" s="3" t="s">
        <v>94</v>
      </c>
      <c r="M563">
        <f t="shared" si="34"/>
        <v>0</v>
      </c>
      <c r="N563">
        <f t="shared" si="35"/>
        <v>0</v>
      </c>
      <c r="O563" t="str">
        <f t="shared" si="36"/>
        <v>Detractor</v>
      </c>
    </row>
    <row r="564" spans="1:15" ht="14.25" customHeight="1" x14ac:dyDescent="0.3">
      <c r="A564" s="3" t="s">
        <v>583</v>
      </c>
      <c r="B564" s="3" t="s">
        <v>1022</v>
      </c>
      <c r="C564" s="3" t="s">
        <v>12</v>
      </c>
      <c r="D564" s="13">
        <v>45952</v>
      </c>
      <c r="E564" s="13">
        <v>45953</v>
      </c>
      <c r="F564" s="13">
        <v>45955</v>
      </c>
      <c r="G564" s="13">
        <v>45957</v>
      </c>
      <c r="H564" s="3" t="s">
        <v>13</v>
      </c>
      <c r="J564" s="4">
        <v>45976</v>
      </c>
      <c r="K564" s="3">
        <v>1</v>
      </c>
      <c r="L564" s="18">
        <f t="shared" si="33"/>
        <v>1</v>
      </c>
      <c r="M564">
        <f t="shared" si="34"/>
        <v>2</v>
      </c>
      <c r="N564">
        <f t="shared" si="35"/>
        <v>2</v>
      </c>
      <c r="O564" t="str">
        <f t="shared" si="36"/>
        <v>Detractor</v>
      </c>
    </row>
    <row r="565" spans="1:15" ht="14.25" customHeight="1" x14ac:dyDescent="0.3">
      <c r="A565" s="3" t="s">
        <v>584</v>
      </c>
      <c r="B565" s="3" t="s">
        <v>1024</v>
      </c>
      <c r="C565" s="3" t="s">
        <v>24</v>
      </c>
      <c r="D565" s="13">
        <v>45960</v>
      </c>
      <c r="E565" s="13">
        <v>45963</v>
      </c>
      <c r="F565" s="13">
        <v>45965</v>
      </c>
      <c r="G565" s="13">
        <v>45970</v>
      </c>
      <c r="H565" s="3" t="s">
        <v>13</v>
      </c>
      <c r="J565" s="4">
        <v>45996</v>
      </c>
      <c r="K565" s="3">
        <v>3</v>
      </c>
      <c r="L565" s="18">
        <f t="shared" si="33"/>
        <v>3</v>
      </c>
      <c r="M565">
        <f t="shared" si="34"/>
        <v>2</v>
      </c>
      <c r="N565">
        <f t="shared" si="35"/>
        <v>5</v>
      </c>
      <c r="O565" t="str">
        <f t="shared" si="36"/>
        <v>Detractor</v>
      </c>
    </row>
    <row r="566" spans="1:15" ht="14.25" customHeight="1" x14ac:dyDescent="0.3">
      <c r="A566" s="3" t="s">
        <v>585</v>
      </c>
      <c r="B566" s="3" t="s">
        <v>1023</v>
      </c>
      <c r="C566" s="3" t="s">
        <v>12</v>
      </c>
      <c r="D566" s="13">
        <v>45940</v>
      </c>
      <c r="E566" s="13">
        <v>45942</v>
      </c>
      <c r="F566" s="13">
        <v>45945</v>
      </c>
      <c r="G566" s="13">
        <v>45951</v>
      </c>
      <c r="H566" s="3" t="s">
        <v>13</v>
      </c>
      <c r="J566" s="4">
        <v>45980</v>
      </c>
      <c r="K566" s="3">
        <v>4</v>
      </c>
      <c r="L566" s="18">
        <f t="shared" si="33"/>
        <v>2</v>
      </c>
      <c r="M566">
        <f t="shared" si="34"/>
        <v>3</v>
      </c>
      <c r="N566">
        <f t="shared" si="35"/>
        <v>6</v>
      </c>
      <c r="O566" t="str">
        <f t="shared" si="36"/>
        <v>Detractor</v>
      </c>
    </row>
    <row r="567" spans="1:15" ht="14.25" customHeight="1" x14ac:dyDescent="0.3">
      <c r="A567" s="3" t="s">
        <v>586</v>
      </c>
      <c r="B567" s="3" t="s">
        <v>1023</v>
      </c>
      <c r="C567" s="3" t="s">
        <v>24</v>
      </c>
      <c r="D567" s="13">
        <v>45938</v>
      </c>
      <c r="E567" s="13">
        <v>45939</v>
      </c>
      <c r="F567" s="13">
        <v>45941</v>
      </c>
      <c r="G567" s="13">
        <v>45947</v>
      </c>
      <c r="H567" s="3" t="s">
        <v>13</v>
      </c>
      <c r="J567" s="4">
        <v>45969</v>
      </c>
      <c r="K567" s="3">
        <v>5</v>
      </c>
      <c r="L567" s="18">
        <f t="shared" si="33"/>
        <v>1</v>
      </c>
      <c r="M567">
        <f t="shared" si="34"/>
        <v>2</v>
      </c>
      <c r="N567">
        <f t="shared" si="35"/>
        <v>6</v>
      </c>
      <c r="O567" t="str">
        <f t="shared" si="36"/>
        <v>Detractor</v>
      </c>
    </row>
    <row r="568" spans="1:15" ht="14.25" customHeight="1" x14ac:dyDescent="0.3">
      <c r="A568" s="3" t="s">
        <v>587</v>
      </c>
      <c r="B568" s="3" t="s">
        <v>1022</v>
      </c>
      <c r="C568" s="3" t="s">
        <v>24</v>
      </c>
      <c r="D568" s="13">
        <v>45954</v>
      </c>
      <c r="E568" s="13">
        <v>45959</v>
      </c>
      <c r="F568" s="13">
        <v>45963</v>
      </c>
      <c r="G568" s="13">
        <v>45965</v>
      </c>
      <c r="H568" s="3" t="s">
        <v>13</v>
      </c>
      <c r="J568" s="4">
        <v>45993</v>
      </c>
      <c r="K568" s="3">
        <v>3</v>
      </c>
      <c r="L568" s="18">
        <f t="shared" si="33"/>
        <v>5</v>
      </c>
      <c r="M568">
        <f t="shared" si="34"/>
        <v>4</v>
      </c>
      <c r="N568">
        <f t="shared" si="35"/>
        <v>2</v>
      </c>
      <c r="O568" t="str">
        <f t="shared" si="36"/>
        <v>Detractor</v>
      </c>
    </row>
    <row r="569" spans="1:15" ht="14.25" customHeight="1" x14ac:dyDescent="0.3">
      <c r="A569" s="3" t="s">
        <v>588</v>
      </c>
      <c r="B569" s="3" t="s">
        <v>1022</v>
      </c>
      <c r="C569" s="3" t="s">
        <v>16</v>
      </c>
      <c r="D569" s="13">
        <v>45933</v>
      </c>
      <c r="H569" s="3" t="s">
        <v>17</v>
      </c>
      <c r="I569" s="3" t="s">
        <v>94</v>
      </c>
      <c r="M569">
        <f t="shared" si="34"/>
        <v>0</v>
      </c>
      <c r="N569">
        <f t="shared" si="35"/>
        <v>0</v>
      </c>
      <c r="O569" t="str">
        <f t="shared" si="36"/>
        <v>Detractor</v>
      </c>
    </row>
    <row r="570" spans="1:15" ht="14.25" customHeight="1" x14ac:dyDescent="0.3">
      <c r="A570" s="3" t="s">
        <v>589</v>
      </c>
      <c r="B570" s="3" t="s">
        <v>1023</v>
      </c>
      <c r="C570" s="3" t="s">
        <v>12</v>
      </c>
      <c r="D570" s="13">
        <v>45944</v>
      </c>
      <c r="E570" s="13">
        <v>45947</v>
      </c>
      <c r="F570" s="13">
        <v>45952</v>
      </c>
      <c r="G570" s="13">
        <v>45956</v>
      </c>
      <c r="H570" s="3" t="s">
        <v>13</v>
      </c>
      <c r="J570" s="4">
        <v>45969</v>
      </c>
      <c r="K570" s="3">
        <v>9</v>
      </c>
      <c r="L570" s="18">
        <f t="shared" si="33"/>
        <v>3</v>
      </c>
      <c r="M570">
        <f t="shared" si="34"/>
        <v>5</v>
      </c>
      <c r="N570">
        <f t="shared" si="35"/>
        <v>4</v>
      </c>
      <c r="O570" t="str">
        <f t="shared" si="36"/>
        <v>Promoter</v>
      </c>
    </row>
    <row r="571" spans="1:15" ht="14.25" customHeight="1" x14ac:dyDescent="0.3">
      <c r="A571" s="3" t="s">
        <v>590</v>
      </c>
      <c r="B571" s="3" t="s">
        <v>1024</v>
      </c>
      <c r="C571" s="3" t="s">
        <v>12</v>
      </c>
      <c r="D571" s="13">
        <v>45934</v>
      </c>
      <c r="E571" s="13">
        <v>45936</v>
      </c>
      <c r="F571" s="13">
        <v>45938</v>
      </c>
      <c r="G571" s="13">
        <v>45945</v>
      </c>
      <c r="H571" s="3" t="s">
        <v>13</v>
      </c>
      <c r="J571" s="4">
        <v>45955</v>
      </c>
      <c r="K571" s="3">
        <v>4</v>
      </c>
      <c r="L571" s="18">
        <f t="shared" si="33"/>
        <v>2</v>
      </c>
      <c r="M571">
        <f t="shared" si="34"/>
        <v>2</v>
      </c>
      <c r="N571">
        <f t="shared" si="35"/>
        <v>7</v>
      </c>
      <c r="O571" t="str">
        <f t="shared" si="36"/>
        <v>Detractor</v>
      </c>
    </row>
    <row r="572" spans="1:15" ht="14.25" customHeight="1" x14ac:dyDescent="0.3">
      <c r="A572" s="3" t="s">
        <v>591</v>
      </c>
      <c r="B572" s="3" t="s">
        <v>1022</v>
      </c>
      <c r="C572" s="3" t="s">
        <v>24</v>
      </c>
      <c r="D572" s="13">
        <v>45955</v>
      </c>
      <c r="E572" s="13">
        <v>45956</v>
      </c>
      <c r="F572" s="13">
        <v>45960</v>
      </c>
      <c r="G572" s="13">
        <v>45967</v>
      </c>
      <c r="H572" s="3" t="s">
        <v>13</v>
      </c>
      <c r="J572" s="4">
        <v>45993</v>
      </c>
      <c r="K572" s="3">
        <v>9</v>
      </c>
      <c r="L572" s="18">
        <f t="shared" si="33"/>
        <v>1</v>
      </c>
      <c r="M572">
        <f t="shared" si="34"/>
        <v>4</v>
      </c>
      <c r="N572">
        <f t="shared" si="35"/>
        <v>7</v>
      </c>
      <c r="O572" t="str">
        <f t="shared" si="36"/>
        <v>Promoter</v>
      </c>
    </row>
    <row r="573" spans="1:15" ht="14.25" customHeight="1" x14ac:dyDescent="0.3">
      <c r="A573" s="3" t="s">
        <v>592</v>
      </c>
      <c r="B573" s="3" t="s">
        <v>1021</v>
      </c>
      <c r="C573" s="3" t="s">
        <v>12</v>
      </c>
      <c r="D573" s="13">
        <v>45951</v>
      </c>
      <c r="E573" s="13">
        <v>45954</v>
      </c>
      <c r="F573" s="13">
        <v>45959</v>
      </c>
      <c r="G573" s="13">
        <v>45966</v>
      </c>
      <c r="H573" s="3" t="s">
        <v>13</v>
      </c>
      <c r="J573" s="4">
        <v>45987</v>
      </c>
      <c r="K573" s="3">
        <v>2</v>
      </c>
      <c r="L573" s="18">
        <f t="shared" si="33"/>
        <v>3</v>
      </c>
      <c r="M573">
        <f t="shared" si="34"/>
        <v>5</v>
      </c>
      <c r="N573">
        <f t="shared" si="35"/>
        <v>7</v>
      </c>
      <c r="O573" t="str">
        <f t="shared" si="36"/>
        <v>Detractor</v>
      </c>
    </row>
    <row r="574" spans="1:15" ht="14.25" customHeight="1" x14ac:dyDescent="0.3">
      <c r="A574" s="3" t="s">
        <v>593</v>
      </c>
      <c r="B574" s="3" t="s">
        <v>1024</v>
      </c>
      <c r="C574" s="3" t="s">
        <v>24</v>
      </c>
      <c r="D574" s="13">
        <v>45953</v>
      </c>
      <c r="E574" s="13">
        <v>45958</v>
      </c>
      <c r="F574" s="13">
        <v>45961</v>
      </c>
      <c r="G574" s="13">
        <v>45968</v>
      </c>
      <c r="H574" s="3" t="s">
        <v>13</v>
      </c>
      <c r="J574" s="4">
        <v>45995</v>
      </c>
      <c r="K574" s="3">
        <v>1</v>
      </c>
      <c r="L574" s="18">
        <f t="shared" si="33"/>
        <v>5</v>
      </c>
      <c r="M574">
        <f t="shared" si="34"/>
        <v>3</v>
      </c>
      <c r="N574">
        <f t="shared" si="35"/>
        <v>7</v>
      </c>
      <c r="O574" t="str">
        <f t="shared" si="36"/>
        <v>Detractor</v>
      </c>
    </row>
    <row r="575" spans="1:15" ht="14.25" customHeight="1" x14ac:dyDescent="0.3">
      <c r="A575" s="3" t="s">
        <v>594</v>
      </c>
      <c r="B575" s="3" t="s">
        <v>1022</v>
      </c>
      <c r="C575" s="3" t="s">
        <v>24</v>
      </c>
      <c r="D575" s="13">
        <v>45958</v>
      </c>
      <c r="E575" s="13">
        <v>45961</v>
      </c>
      <c r="F575" s="13">
        <v>45964</v>
      </c>
      <c r="G575" s="13">
        <v>45967</v>
      </c>
      <c r="H575" s="3" t="s">
        <v>13</v>
      </c>
      <c r="J575" s="4">
        <v>45997</v>
      </c>
      <c r="K575" s="3">
        <v>7</v>
      </c>
      <c r="L575" s="18">
        <f t="shared" si="33"/>
        <v>3</v>
      </c>
      <c r="M575">
        <f t="shared" si="34"/>
        <v>3</v>
      </c>
      <c r="N575">
        <f t="shared" si="35"/>
        <v>3</v>
      </c>
      <c r="O575" t="str">
        <f t="shared" si="36"/>
        <v>Passive</v>
      </c>
    </row>
    <row r="576" spans="1:15" ht="14.25" customHeight="1" x14ac:dyDescent="0.3">
      <c r="A576" s="3" t="s">
        <v>595</v>
      </c>
      <c r="B576" s="3" t="s">
        <v>1022</v>
      </c>
      <c r="C576" s="3" t="s">
        <v>12</v>
      </c>
      <c r="D576" s="13">
        <v>45934</v>
      </c>
      <c r="E576" s="13">
        <v>45936</v>
      </c>
      <c r="F576" s="13">
        <v>45940</v>
      </c>
      <c r="G576" s="13">
        <v>45942</v>
      </c>
      <c r="H576" s="3" t="s">
        <v>13</v>
      </c>
      <c r="J576" s="4">
        <v>45971</v>
      </c>
      <c r="K576" s="3">
        <v>0</v>
      </c>
      <c r="L576" s="18">
        <f t="shared" si="33"/>
        <v>2</v>
      </c>
      <c r="M576">
        <f t="shared" si="34"/>
        <v>4</v>
      </c>
      <c r="N576">
        <f t="shared" si="35"/>
        <v>2</v>
      </c>
      <c r="O576" t="str">
        <f t="shared" si="36"/>
        <v>Detractor</v>
      </c>
    </row>
    <row r="577" spans="1:15" ht="14.25" customHeight="1" x14ac:dyDescent="0.3">
      <c r="A577" s="3" t="s">
        <v>596</v>
      </c>
      <c r="B577" s="3" t="s">
        <v>1021</v>
      </c>
      <c r="C577" s="3" t="s">
        <v>24</v>
      </c>
      <c r="D577" s="13">
        <v>45945</v>
      </c>
      <c r="E577" s="13">
        <v>45949</v>
      </c>
      <c r="F577" s="13">
        <v>45953</v>
      </c>
      <c r="G577" s="13">
        <v>45955</v>
      </c>
      <c r="H577" s="3" t="s">
        <v>13</v>
      </c>
      <c r="J577" s="4">
        <v>45984</v>
      </c>
      <c r="K577" s="3">
        <v>10</v>
      </c>
      <c r="L577" s="18">
        <f t="shared" si="33"/>
        <v>4</v>
      </c>
      <c r="M577">
        <f t="shared" si="34"/>
        <v>4</v>
      </c>
      <c r="N577">
        <f t="shared" si="35"/>
        <v>2</v>
      </c>
      <c r="O577" t="str">
        <f t="shared" si="36"/>
        <v>Promoter</v>
      </c>
    </row>
    <row r="578" spans="1:15" ht="14.25" customHeight="1" x14ac:dyDescent="0.3">
      <c r="A578" s="3" t="s">
        <v>597</v>
      </c>
      <c r="B578" s="3" t="s">
        <v>1021</v>
      </c>
      <c r="C578" s="3" t="s">
        <v>12</v>
      </c>
      <c r="D578" s="13">
        <v>45936</v>
      </c>
      <c r="E578" s="13">
        <v>45940</v>
      </c>
      <c r="F578" s="13">
        <v>45944</v>
      </c>
      <c r="G578" s="13">
        <v>45951</v>
      </c>
      <c r="H578" s="3" t="s">
        <v>13</v>
      </c>
      <c r="J578" s="4">
        <v>45970</v>
      </c>
      <c r="K578" s="3">
        <v>7</v>
      </c>
      <c r="L578" s="18">
        <f t="shared" si="33"/>
        <v>4</v>
      </c>
      <c r="M578">
        <f t="shared" si="34"/>
        <v>4</v>
      </c>
      <c r="N578">
        <f t="shared" si="35"/>
        <v>7</v>
      </c>
      <c r="O578" t="str">
        <f t="shared" si="36"/>
        <v>Passive</v>
      </c>
    </row>
    <row r="579" spans="1:15" ht="14.25" customHeight="1" x14ac:dyDescent="0.3">
      <c r="A579" s="3" t="s">
        <v>598</v>
      </c>
      <c r="B579" s="3" t="s">
        <v>1023</v>
      </c>
      <c r="C579" s="3" t="s">
        <v>24</v>
      </c>
      <c r="D579" s="13">
        <v>45953</v>
      </c>
      <c r="E579" s="13">
        <v>45955</v>
      </c>
      <c r="F579" s="13">
        <v>45957</v>
      </c>
      <c r="G579" s="13">
        <v>45960</v>
      </c>
      <c r="H579" s="3" t="s">
        <v>13</v>
      </c>
      <c r="J579" s="4">
        <v>45979</v>
      </c>
      <c r="K579" s="3">
        <v>3</v>
      </c>
      <c r="L579" s="18">
        <f t="shared" ref="L579:L641" si="37">E579-D579</f>
        <v>2</v>
      </c>
      <c r="M579">
        <f t="shared" ref="M579:M642" si="38">F579-E579</f>
        <v>2</v>
      </c>
      <c r="N579">
        <f t="shared" ref="N579:N642" si="39">G579-F579</f>
        <v>3</v>
      </c>
      <c r="O579" t="str">
        <f t="shared" ref="O579:O642" si="40">IF(K579&gt;=9,"Promoter",IF(K579&lt;=6,"Detractor","Passive"))</f>
        <v>Detractor</v>
      </c>
    </row>
    <row r="580" spans="1:15" ht="14.25" customHeight="1" x14ac:dyDescent="0.3">
      <c r="A580" s="3" t="s">
        <v>599</v>
      </c>
      <c r="B580" s="3" t="s">
        <v>1024</v>
      </c>
      <c r="C580" s="3" t="s">
        <v>24</v>
      </c>
      <c r="D580" s="13">
        <v>45940</v>
      </c>
      <c r="E580" s="13">
        <v>45942</v>
      </c>
      <c r="F580" s="13">
        <v>45945</v>
      </c>
      <c r="G580" s="13">
        <v>45952</v>
      </c>
      <c r="H580" s="3" t="s">
        <v>13</v>
      </c>
      <c r="J580" s="4">
        <v>45965</v>
      </c>
      <c r="K580" s="3">
        <v>6</v>
      </c>
      <c r="L580" s="18">
        <f t="shared" si="37"/>
        <v>2</v>
      </c>
      <c r="M580">
        <f t="shared" si="38"/>
        <v>3</v>
      </c>
      <c r="N580">
        <f t="shared" si="39"/>
        <v>7</v>
      </c>
      <c r="O580" t="str">
        <f t="shared" si="40"/>
        <v>Detractor</v>
      </c>
    </row>
    <row r="581" spans="1:15" ht="14.25" customHeight="1" x14ac:dyDescent="0.3">
      <c r="A581" s="3" t="s">
        <v>600</v>
      </c>
      <c r="B581" s="3" t="s">
        <v>1024</v>
      </c>
      <c r="C581" s="3" t="s">
        <v>24</v>
      </c>
      <c r="D581" s="13">
        <v>45959</v>
      </c>
      <c r="E581" s="13">
        <v>45960</v>
      </c>
      <c r="F581" s="13">
        <v>45962</v>
      </c>
      <c r="G581" s="13">
        <v>45964</v>
      </c>
      <c r="H581" s="3" t="s">
        <v>13</v>
      </c>
      <c r="J581" s="4">
        <v>45989</v>
      </c>
      <c r="K581" s="3">
        <v>9</v>
      </c>
      <c r="L581" s="18">
        <f t="shared" si="37"/>
        <v>1</v>
      </c>
      <c r="M581">
        <f t="shared" si="38"/>
        <v>2</v>
      </c>
      <c r="N581">
        <f t="shared" si="39"/>
        <v>2</v>
      </c>
      <c r="O581" t="str">
        <f t="shared" si="40"/>
        <v>Promoter</v>
      </c>
    </row>
    <row r="582" spans="1:15" ht="14.25" customHeight="1" x14ac:dyDescent="0.3">
      <c r="A582" s="3" t="s">
        <v>601</v>
      </c>
      <c r="B582" s="3" t="s">
        <v>1023</v>
      </c>
      <c r="C582" s="3" t="s">
        <v>12</v>
      </c>
      <c r="D582" s="13">
        <v>45931</v>
      </c>
      <c r="E582" s="13">
        <v>45935</v>
      </c>
      <c r="F582" s="13">
        <v>45937</v>
      </c>
      <c r="G582" s="13">
        <v>45940</v>
      </c>
      <c r="H582" s="3" t="s">
        <v>13</v>
      </c>
      <c r="J582" s="4">
        <v>45952</v>
      </c>
      <c r="K582" s="3">
        <v>6</v>
      </c>
      <c r="L582" s="18">
        <f t="shared" si="37"/>
        <v>4</v>
      </c>
      <c r="M582">
        <f t="shared" si="38"/>
        <v>2</v>
      </c>
      <c r="N582">
        <f t="shared" si="39"/>
        <v>3</v>
      </c>
      <c r="O582" t="str">
        <f t="shared" si="40"/>
        <v>Detractor</v>
      </c>
    </row>
    <row r="583" spans="1:15" ht="14.25" customHeight="1" x14ac:dyDescent="0.3">
      <c r="A583" s="3" t="s">
        <v>602</v>
      </c>
      <c r="B583" s="3" t="s">
        <v>1024</v>
      </c>
      <c r="C583" s="3" t="s">
        <v>12</v>
      </c>
      <c r="D583" s="13">
        <v>45932</v>
      </c>
      <c r="E583" s="13">
        <v>45933</v>
      </c>
      <c r="F583" s="13">
        <v>45938</v>
      </c>
      <c r="G583" s="13">
        <v>45943</v>
      </c>
      <c r="H583" s="3" t="s">
        <v>13</v>
      </c>
      <c r="J583" s="4">
        <v>45963</v>
      </c>
      <c r="K583" s="3">
        <v>3</v>
      </c>
      <c r="L583" s="18">
        <f t="shared" si="37"/>
        <v>1</v>
      </c>
      <c r="M583">
        <f t="shared" si="38"/>
        <v>5</v>
      </c>
      <c r="N583">
        <f t="shared" si="39"/>
        <v>5</v>
      </c>
      <c r="O583" t="str">
        <f t="shared" si="40"/>
        <v>Detractor</v>
      </c>
    </row>
    <row r="584" spans="1:15" ht="14.25" customHeight="1" x14ac:dyDescent="0.3">
      <c r="A584" s="3" t="s">
        <v>603</v>
      </c>
      <c r="B584" s="3" t="s">
        <v>1024</v>
      </c>
      <c r="C584" s="3" t="s">
        <v>12</v>
      </c>
      <c r="D584" s="13">
        <v>45941</v>
      </c>
      <c r="E584" s="13">
        <v>45944</v>
      </c>
      <c r="F584" s="13">
        <v>45948</v>
      </c>
      <c r="G584" s="13">
        <v>45952</v>
      </c>
      <c r="H584" s="3" t="s">
        <v>13</v>
      </c>
      <c r="J584" s="4">
        <v>45970</v>
      </c>
      <c r="K584" s="3">
        <v>1</v>
      </c>
      <c r="L584" s="18">
        <f t="shared" si="37"/>
        <v>3</v>
      </c>
      <c r="M584">
        <f t="shared" si="38"/>
        <v>4</v>
      </c>
      <c r="N584">
        <f t="shared" si="39"/>
        <v>4</v>
      </c>
      <c r="O584" t="str">
        <f t="shared" si="40"/>
        <v>Detractor</v>
      </c>
    </row>
    <row r="585" spans="1:15" ht="14.25" customHeight="1" x14ac:dyDescent="0.3">
      <c r="A585" s="3" t="s">
        <v>604</v>
      </c>
      <c r="B585" s="3" t="s">
        <v>1024</v>
      </c>
      <c r="C585" s="3" t="s">
        <v>12</v>
      </c>
      <c r="D585" s="13">
        <v>45956</v>
      </c>
      <c r="E585" s="13">
        <v>45958</v>
      </c>
      <c r="F585" s="13">
        <v>45960</v>
      </c>
      <c r="G585" s="13">
        <v>45966</v>
      </c>
      <c r="H585" s="3" t="s">
        <v>13</v>
      </c>
      <c r="J585" s="4">
        <v>45996</v>
      </c>
      <c r="K585" s="3">
        <v>5</v>
      </c>
      <c r="L585" s="18">
        <f t="shared" si="37"/>
        <v>2</v>
      </c>
      <c r="M585">
        <f t="shared" si="38"/>
        <v>2</v>
      </c>
      <c r="N585">
        <f t="shared" si="39"/>
        <v>6</v>
      </c>
      <c r="O585" t="str">
        <f t="shared" si="40"/>
        <v>Detractor</v>
      </c>
    </row>
    <row r="586" spans="1:15" ht="14.25" customHeight="1" x14ac:dyDescent="0.3">
      <c r="A586" s="3" t="s">
        <v>605</v>
      </c>
      <c r="B586" s="3" t="s">
        <v>1024</v>
      </c>
      <c r="C586" s="3" t="s">
        <v>12</v>
      </c>
      <c r="D586" s="13">
        <v>45932</v>
      </c>
      <c r="E586" s="13">
        <v>45933</v>
      </c>
      <c r="F586" s="13">
        <v>45938</v>
      </c>
      <c r="G586" s="13">
        <v>45944</v>
      </c>
      <c r="H586" s="3" t="s">
        <v>17</v>
      </c>
      <c r="I586" s="3" t="s">
        <v>26</v>
      </c>
      <c r="L586" s="18">
        <f t="shared" si="37"/>
        <v>1</v>
      </c>
      <c r="M586">
        <f t="shared" si="38"/>
        <v>5</v>
      </c>
      <c r="N586">
        <f t="shared" si="39"/>
        <v>6</v>
      </c>
      <c r="O586" t="str">
        <f t="shared" si="40"/>
        <v>Detractor</v>
      </c>
    </row>
    <row r="587" spans="1:15" ht="14.25" customHeight="1" x14ac:dyDescent="0.3">
      <c r="A587" s="3" t="s">
        <v>606</v>
      </c>
      <c r="B587" s="3" t="s">
        <v>1024</v>
      </c>
      <c r="C587" s="3" t="s">
        <v>24</v>
      </c>
      <c r="D587" s="13">
        <v>45940</v>
      </c>
      <c r="E587" s="13">
        <v>45942</v>
      </c>
      <c r="F587" s="13">
        <v>45943</v>
      </c>
      <c r="G587" s="13">
        <v>45950</v>
      </c>
      <c r="H587" s="3" t="s">
        <v>13</v>
      </c>
      <c r="J587" s="4">
        <v>45970</v>
      </c>
      <c r="K587" s="3">
        <v>5</v>
      </c>
      <c r="L587" s="18">
        <f t="shared" si="37"/>
        <v>2</v>
      </c>
      <c r="M587">
        <f t="shared" si="38"/>
        <v>1</v>
      </c>
      <c r="N587">
        <f t="shared" si="39"/>
        <v>7</v>
      </c>
      <c r="O587" t="str">
        <f t="shared" si="40"/>
        <v>Detractor</v>
      </c>
    </row>
    <row r="588" spans="1:15" ht="14.25" customHeight="1" x14ac:dyDescent="0.3">
      <c r="A588" s="3" t="s">
        <v>607</v>
      </c>
      <c r="B588" s="3" t="s">
        <v>1021</v>
      </c>
      <c r="C588" s="3" t="s">
        <v>12</v>
      </c>
      <c r="D588" s="13">
        <v>45942</v>
      </c>
      <c r="E588" s="13">
        <v>45943</v>
      </c>
      <c r="F588" s="13">
        <v>45948</v>
      </c>
      <c r="G588" s="13">
        <v>45952</v>
      </c>
      <c r="H588" s="3" t="s">
        <v>13</v>
      </c>
      <c r="J588" s="4">
        <v>45970</v>
      </c>
      <c r="K588" s="3">
        <v>8</v>
      </c>
      <c r="L588" s="18">
        <f t="shared" si="37"/>
        <v>1</v>
      </c>
      <c r="M588">
        <f t="shared" si="38"/>
        <v>5</v>
      </c>
      <c r="N588">
        <f t="shared" si="39"/>
        <v>4</v>
      </c>
      <c r="O588" t="str">
        <f t="shared" si="40"/>
        <v>Passive</v>
      </c>
    </row>
    <row r="589" spans="1:15" ht="14.25" customHeight="1" x14ac:dyDescent="0.3">
      <c r="A589" s="3" t="s">
        <v>608</v>
      </c>
      <c r="B589" s="3" t="s">
        <v>1024</v>
      </c>
      <c r="C589" s="3" t="s">
        <v>16</v>
      </c>
      <c r="D589" s="13">
        <v>45942</v>
      </c>
      <c r="H589" s="3" t="s">
        <v>17</v>
      </c>
      <c r="I589" s="3" t="s">
        <v>26</v>
      </c>
      <c r="M589">
        <f t="shared" si="38"/>
        <v>0</v>
      </c>
      <c r="N589">
        <f t="shared" si="39"/>
        <v>0</v>
      </c>
      <c r="O589" t="str">
        <f t="shared" si="40"/>
        <v>Detractor</v>
      </c>
    </row>
    <row r="590" spans="1:15" ht="14.25" customHeight="1" x14ac:dyDescent="0.3">
      <c r="A590" s="3" t="s">
        <v>609</v>
      </c>
      <c r="B590" s="3" t="s">
        <v>1021</v>
      </c>
      <c r="C590" s="3" t="s">
        <v>12</v>
      </c>
      <c r="D590" s="13">
        <v>45944</v>
      </c>
      <c r="E590" s="13">
        <v>45947</v>
      </c>
      <c r="F590" s="13">
        <v>45948</v>
      </c>
      <c r="G590" s="13">
        <v>45951</v>
      </c>
      <c r="H590" s="3" t="s">
        <v>17</v>
      </c>
      <c r="I590" s="3" t="s">
        <v>94</v>
      </c>
      <c r="L590" s="18">
        <f t="shared" si="37"/>
        <v>3</v>
      </c>
      <c r="M590">
        <f t="shared" si="38"/>
        <v>1</v>
      </c>
      <c r="N590">
        <f t="shared" si="39"/>
        <v>3</v>
      </c>
      <c r="O590" t="str">
        <f t="shared" si="40"/>
        <v>Detractor</v>
      </c>
    </row>
    <row r="591" spans="1:15" ht="14.25" customHeight="1" x14ac:dyDescent="0.3">
      <c r="A591" s="3" t="s">
        <v>610</v>
      </c>
      <c r="B591" s="3" t="s">
        <v>1024</v>
      </c>
      <c r="C591" s="3" t="s">
        <v>12</v>
      </c>
      <c r="D591" s="13">
        <v>45935</v>
      </c>
      <c r="E591" s="13">
        <v>45938</v>
      </c>
      <c r="F591" s="13">
        <v>45939</v>
      </c>
      <c r="G591" s="13">
        <v>45943</v>
      </c>
      <c r="H591" s="3" t="s">
        <v>13</v>
      </c>
      <c r="J591" s="4">
        <v>45961</v>
      </c>
      <c r="K591" s="3">
        <v>9</v>
      </c>
      <c r="L591" s="18">
        <f t="shared" si="37"/>
        <v>3</v>
      </c>
      <c r="M591">
        <f t="shared" si="38"/>
        <v>1</v>
      </c>
      <c r="N591">
        <f t="shared" si="39"/>
        <v>4</v>
      </c>
      <c r="O591" t="str">
        <f t="shared" si="40"/>
        <v>Promoter</v>
      </c>
    </row>
    <row r="592" spans="1:15" ht="14.25" customHeight="1" x14ac:dyDescent="0.3">
      <c r="A592" s="3" t="s">
        <v>611</v>
      </c>
      <c r="B592" s="3" t="s">
        <v>1023</v>
      </c>
      <c r="C592" s="3" t="s">
        <v>16</v>
      </c>
      <c r="D592" s="13">
        <v>45938</v>
      </c>
      <c r="H592" s="3" t="s">
        <v>17</v>
      </c>
      <c r="I592" s="3" t="s">
        <v>56</v>
      </c>
      <c r="M592">
        <f t="shared" si="38"/>
        <v>0</v>
      </c>
      <c r="N592">
        <f t="shared" si="39"/>
        <v>0</v>
      </c>
      <c r="O592" t="str">
        <f t="shared" si="40"/>
        <v>Detractor</v>
      </c>
    </row>
    <row r="593" spans="1:15" ht="14.25" customHeight="1" x14ac:dyDescent="0.3">
      <c r="A593" s="3" t="s">
        <v>612</v>
      </c>
      <c r="B593" s="3" t="s">
        <v>1022</v>
      </c>
      <c r="C593" s="3" t="s">
        <v>12</v>
      </c>
      <c r="D593" s="13">
        <v>45947</v>
      </c>
      <c r="E593" s="13">
        <v>45952</v>
      </c>
      <c r="F593" s="13">
        <v>45953</v>
      </c>
      <c r="G593" s="13">
        <v>45956</v>
      </c>
      <c r="H593" s="3" t="s">
        <v>13</v>
      </c>
      <c r="J593" s="4">
        <v>45986</v>
      </c>
      <c r="K593" s="3">
        <v>0</v>
      </c>
      <c r="L593" s="18">
        <f t="shared" si="37"/>
        <v>5</v>
      </c>
      <c r="M593">
        <f t="shared" si="38"/>
        <v>1</v>
      </c>
      <c r="N593">
        <f t="shared" si="39"/>
        <v>3</v>
      </c>
      <c r="O593" t="str">
        <f t="shared" si="40"/>
        <v>Detractor</v>
      </c>
    </row>
    <row r="594" spans="1:15" ht="14.25" customHeight="1" x14ac:dyDescent="0.3">
      <c r="A594" s="3" t="s">
        <v>613</v>
      </c>
      <c r="B594" s="3" t="s">
        <v>1021</v>
      </c>
      <c r="C594" s="3" t="s">
        <v>24</v>
      </c>
      <c r="D594" s="13">
        <v>45944</v>
      </c>
      <c r="E594" s="13">
        <v>45948</v>
      </c>
      <c r="F594" s="13">
        <v>45949</v>
      </c>
      <c r="G594" s="13">
        <v>45956</v>
      </c>
      <c r="H594" s="3" t="s">
        <v>17</v>
      </c>
      <c r="I594" s="3" t="s">
        <v>18</v>
      </c>
      <c r="L594" s="18">
        <f t="shared" si="37"/>
        <v>4</v>
      </c>
      <c r="M594">
        <f t="shared" si="38"/>
        <v>1</v>
      </c>
      <c r="N594">
        <f t="shared" si="39"/>
        <v>7</v>
      </c>
      <c r="O594" t="str">
        <f t="shared" si="40"/>
        <v>Detractor</v>
      </c>
    </row>
    <row r="595" spans="1:15" ht="14.25" customHeight="1" x14ac:dyDescent="0.3">
      <c r="A595" s="3" t="s">
        <v>614</v>
      </c>
      <c r="B595" s="3" t="s">
        <v>1024</v>
      </c>
      <c r="C595" s="3" t="s">
        <v>12</v>
      </c>
      <c r="D595" s="13">
        <v>45949</v>
      </c>
      <c r="E595" s="13">
        <v>45954</v>
      </c>
      <c r="F595" s="13">
        <v>45958</v>
      </c>
      <c r="G595" s="13">
        <v>45962</v>
      </c>
      <c r="H595" s="3" t="s">
        <v>13</v>
      </c>
      <c r="J595" s="4">
        <v>45992</v>
      </c>
      <c r="K595" s="3">
        <v>7</v>
      </c>
      <c r="L595" s="18">
        <f t="shared" si="37"/>
        <v>5</v>
      </c>
      <c r="M595">
        <f t="shared" si="38"/>
        <v>4</v>
      </c>
      <c r="N595">
        <f t="shared" si="39"/>
        <v>4</v>
      </c>
      <c r="O595" t="str">
        <f t="shared" si="40"/>
        <v>Passive</v>
      </c>
    </row>
    <row r="596" spans="1:15" ht="14.25" customHeight="1" x14ac:dyDescent="0.3">
      <c r="A596" s="3" t="s">
        <v>615</v>
      </c>
      <c r="B596" s="3" t="s">
        <v>1023</v>
      </c>
      <c r="C596" s="3" t="s">
        <v>12</v>
      </c>
      <c r="D596" s="13">
        <v>45952</v>
      </c>
      <c r="E596" s="13">
        <v>45956</v>
      </c>
      <c r="F596" s="13">
        <v>45958</v>
      </c>
      <c r="G596" s="13">
        <v>45965</v>
      </c>
      <c r="H596" s="3" t="s">
        <v>13</v>
      </c>
      <c r="J596" s="4">
        <v>45984</v>
      </c>
      <c r="K596" s="3">
        <v>2</v>
      </c>
      <c r="L596" s="18">
        <f t="shared" si="37"/>
        <v>4</v>
      </c>
      <c r="M596">
        <f t="shared" si="38"/>
        <v>2</v>
      </c>
      <c r="N596">
        <f t="shared" si="39"/>
        <v>7</v>
      </c>
      <c r="O596" t="str">
        <f t="shared" si="40"/>
        <v>Detractor</v>
      </c>
    </row>
    <row r="597" spans="1:15" ht="14.25" customHeight="1" x14ac:dyDescent="0.3">
      <c r="A597" s="3" t="s">
        <v>616</v>
      </c>
      <c r="B597" s="3" t="s">
        <v>1022</v>
      </c>
      <c r="C597" s="3" t="s">
        <v>12</v>
      </c>
      <c r="D597" s="13">
        <v>45956</v>
      </c>
      <c r="E597" s="13">
        <v>45959</v>
      </c>
      <c r="F597" s="13">
        <v>45961</v>
      </c>
      <c r="G597" s="13">
        <v>45963</v>
      </c>
      <c r="H597" s="3" t="s">
        <v>13</v>
      </c>
      <c r="J597" s="4">
        <v>45979</v>
      </c>
      <c r="K597" s="3">
        <v>8</v>
      </c>
      <c r="L597" s="18">
        <f t="shared" si="37"/>
        <v>3</v>
      </c>
      <c r="M597">
        <f t="shared" si="38"/>
        <v>2</v>
      </c>
      <c r="N597">
        <f t="shared" si="39"/>
        <v>2</v>
      </c>
      <c r="O597" t="str">
        <f t="shared" si="40"/>
        <v>Passive</v>
      </c>
    </row>
    <row r="598" spans="1:15" ht="14.25" customHeight="1" x14ac:dyDescent="0.3">
      <c r="A598" s="3" t="s">
        <v>617</v>
      </c>
      <c r="B598" s="3" t="s">
        <v>1021</v>
      </c>
      <c r="C598" s="3" t="s">
        <v>12</v>
      </c>
      <c r="D598" s="13">
        <v>45936</v>
      </c>
      <c r="E598" s="13">
        <v>45937</v>
      </c>
      <c r="F598" s="13">
        <v>45938</v>
      </c>
      <c r="G598" s="13">
        <v>45940</v>
      </c>
      <c r="H598" s="3" t="s">
        <v>17</v>
      </c>
      <c r="I598" s="3" t="s">
        <v>18</v>
      </c>
      <c r="L598" s="18">
        <f t="shared" si="37"/>
        <v>1</v>
      </c>
      <c r="M598">
        <f t="shared" si="38"/>
        <v>1</v>
      </c>
      <c r="N598">
        <f t="shared" si="39"/>
        <v>2</v>
      </c>
      <c r="O598" t="str">
        <f t="shared" si="40"/>
        <v>Detractor</v>
      </c>
    </row>
    <row r="599" spans="1:15" ht="14.25" customHeight="1" x14ac:dyDescent="0.3">
      <c r="A599" s="3" t="s">
        <v>618</v>
      </c>
      <c r="B599" s="3" t="s">
        <v>1022</v>
      </c>
      <c r="C599" s="3" t="s">
        <v>12</v>
      </c>
      <c r="D599" s="13">
        <v>45936</v>
      </c>
      <c r="E599" s="13">
        <v>45938</v>
      </c>
      <c r="F599" s="13">
        <v>45940</v>
      </c>
      <c r="G599" s="13">
        <v>45944</v>
      </c>
      <c r="H599" s="3" t="s">
        <v>13</v>
      </c>
      <c r="J599" s="4">
        <v>45958</v>
      </c>
      <c r="K599" s="3">
        <v>3</v>
      </c>
      <c r="L599" s="18">
        <f t="shared" si="37"/>
        <v>2</v>
      </c>
      <c r="M599">
        <f t="shared" si="38"/>
        <v>2</v>
      </c>
      <c r="N599">
        <f t="shared" si="39"/>
        <v>4</v>
      </c>
      <c r="O599" t="str">
        <f t="shared" si="40"/>
        <v>Detractor</v>
      </c>
    </row>
    <row r="600" spans="1:15" ht="14.25" customHeight="1" x14ac:dyDescent="0.3">
      <c r="A600" s="3" t="s">
        <v>619</v>
      </c>
      <c r="B600" s="3" t="s">
        <v>1023</v>
      </c>
      <c r="C600" s="3" t="s">
        <v>12</v>
      </c>
      <c r="D600" s="13">
        <v>45936</v>
      </c>
      <c r="E600" s="13">
        <v>45939</v>
      </c>
      <c r="F600" s="13">
        <v>45940</v>
      </c>
      <c r="G600" s="13">
        <v>45945</v>
      </c>
      <c r="H600" s="3" t="s">
        <v>13</v>
      </c>
      <c r="J600" s="4">
        <v>45971</v>
      </c>
      <c r="K600" s="3">
        <v>1</v>
      </c>
      <c r="L600" s="18">
        <f t="shared" si="37"/>
        <v>3</v>
      </c>
      <c r="M600">
        <f t="shared" si="38"/>
        <v>1</v>
      </c>
      <c r="N600">
        <f t="shared" si="39"/>
        <v>5</v>
      </c>
      <c r="O600" t="str">
        <f t="shared" si="40"/>
        <v>Detractor</v>
      </c>
    </row>
    <row r="601" spans="1:15" ht="14.25" customHeight="1" x14ac:dyDescent="0.3">
      <c r="A601" s="3" t="s">
        <v>620</v>
      </c>
      <c r="B601" s="3" t="s">
        <v>1021</v>
      </c>
      <c r="C601" s="3" t="s">
        <v>12</v>
      </c>
      <c r="D601" s="13">
        <v>45933</v>
      </c>
      <c r="E601" s="13">
        <v>45936</v>
      </c>
      <c r="F601" s="13">
        <v>45938</v>
      </c>
      <c r="G601" s="13">
        <v>45942</v>
      </c>
      <c r="H601" s="3" t="s">
        <v>13</v>
      </c>
      <c r="J601" s="4">
        <v>45959</v>
      </c>
      <c r="K601" s="3">
        <v>4</v>
      </c>
      <c r="L601" s="18">
        <f t="shared" si="37"/>
        <v>3</v>
      </c>
      <c r="M601">
        <f t="shared" si="38"/>
        <v>2</v>
      </c>
      <c r="N601">
        <f t="shared" si="39"/>
        <v>4</v>
      </c>
      <c r="O601" t="str">
        <f t="shared" si="40"/>
        <v>Detractor</v>
      </c>
    </row>
    <row r="602" spans="1:15" ht="14.25" customHeight="1" x14ac:dyDescent="0.3">
      <c r="A602" s="3" t="s">
        <v>621</v>
      </c>
      <c r="B602" s="3" t="s">
        <v>1022</v>
      </c>
      <c r="C602" s="3" t="s">
        <v>16</v>
      </c>
      <c r="D602" s="13">
        <v>45950</v>
      </c>
      <c r="H602" s="3" t="s">
        <v>17</v>
      </c>
      <c r="I602" s="3" t="s">
        <v>94</v>
      </c>
      <c r="M602">
        <f t="shared" si="38"/>
        <v>0</v>
      </c>
      <c r="N602">
        <f t="shared" si="39"/>
        <v>0</v>
      </c>
      <c r="O602" t="str">
        <f t="shared" si="40"/>
        <v>Detractor</v>
      </c>
    </row>
    <row r="603" spans="1:15" ht="14.25" customHeight="1" x14ac:dyDescent="0.3">
      <c r="A603" s="3" t="s">
        <v>622</v>
      </c>
      <c r="B603" s="3" t="s">
        <v>1024</v>
      </c>
      <c r="C603" s="3" t="s">
        <v>12</v>
      </c>
      <c r="D603" s="13">
        <v>45958</v>
      </c>
      <c r="E603" s="13">
        <v>45959</v>
      </c>
      <c r="F603" s="13">
        <v>45964</v>
      </c>
      <c r="G603" s="13">
        <v>45970</v>
      </c>
      <c r="H603" s="3" t="s">
        <v>13</v>
      </c>
      <c r="J603" s="4">
        <v>45981</v>
      </c>
      <c r="K603" s="3">
        <v>3</v>
      </c>
      <c r="L603" s="18">
        <f t="shared" si="37"/>
        <v>1</v>
      </c>
      <c r="M603">
        <f t="shared" si="38"/>
        <v>5</v>
      </c>
      <c r="N603">
        <f t="shared" si="39"/>
        <v>6</v>
      </c>
      <c r="O603" t="str">
        <f t="shared" si="40"/>
        <v>Detractor</v>
      </c>
    </row>
    <row r="604" spans="1:15" ht="14.25" customHeight="1" x14ac:dyDescent="0.3">
      <c r="A604" s="3" t="s">
        <v>623</v>
      </c>
      <c r="B604" s="3" t="s">
        <v>1021</v>
      </c>
      <c r="C604" s="3" t="s">
        <v>24</v>
      </c>
      <c r="D604" s="13">
        <v>45943</v>
      </c>
      <c r="E604" s="13">
        <v>45946</v>
      </c>
      <c r="F604" s="13">
        <v>45950</v>
      </c>
      <c r="G604" s="13">
        <v>45952</v>
      </c>
      <c r="H604" s="3" t="s">
        <v>13</v>
      </c>
      <c r="J604" s="4">
        <v>45981</v>
      </c>
      <c r="K604" s="3">
        <v>8</v>
      </c>
      <c r="L604" s="18">
        <f t="shared" si="37"/>
        <v>3</v>
      </c>
      <c r="M604">
        <f t="shared" si="38"/>
        <v>4</v>
      </c>
      <c r="N604">
        <f t="shared" si="39"/>
        <v>2</v>
      </c>
      <c r="O604" t="str">
        <f t="shared" si="40"/>
        <v>Passive</v>
      </c>
    </row>
    <row r="605" spans="1:15" ht="14.25" customHeight="1" x14ac:dyDescent="0.3">
      <c r="A605" s="3" t="s">
        <v>624</v>
      </c>
      <c r="B605" s="3" t="s">
        <v>1022</v>
      </c>
      <c r="C605" s="3" t="s">
        <v>12</v>
      </c>
      <c r="D605" s="13">
        <v>45950</v>
      </c>
      <c r="E605" s="13">
        <v>45953</v>
      </c>
      <c r="F605" s="13">
        <v>45956</v>
      </c>
      <c r="G605" s="13">
        <v>45960</v>
      </c>
      <c r="H605" s="3" t="s">
        <v>13</v>
      </c>
      <c r="J605" s="4">
        <v>45982</v>
      </c>
      <c r="K605" s="3">
        <v>6</v>
      </c>
      <c r="L605" s="18">
        <f t="shared" si="37"/>
        <v>3</v>
      </c>
      <c r="M605">
        <f t="shared" si="38"/>
        <v>3</v>
      </c>
      <c r="N605">
        <f t="shared" si="39"/>
        <v>4</v>
      </c>
      <c r="O605" t="str">
        <f t="shared" si="40"/>
        <v>Detractor</v>
      </c>
    </row>
    <row r="606" spans="1:15" ht="14.25" customHeight="1" x14ac:dyDescent="0.3">
      <c r="A606" s="3" t="s">
        <v>625</v>
      </c>
      <c r="B606" s="3" t="s">
        <v>1023</v>
      </c>
      <c r="C606" s="3" t="s">
        <v>24</v>
      </c>
      <c r="D606" s="13">
        <v>45952</v>
      </c>
      <c r="E606" s="13">
        <v>45953</v>
      </c>
      <c r="F606" s="13">
        <v>45954</v>
      </c>
      <c r="G606" s="13">
        <v>45961</v>
      </c>
      <c r="H606" s="3" t="s">
        <v>13</v>
      </c>
      <c r="J606" s="4">
        <v>45981</v>
      </c>
      <c r="K606" s="3">
        <v>9</v>
      </c>
      <c r="L606" s="18">
        <f t="shared" si="37"/>
        <v>1</v>
      </c>
      <c r="M606">
        <f t="shared" si="38"/>
        <v>1</v>
      </c>
      <c r="N606">
        <f t="shared" si="39"/>
        <v>7</v>
      </c>
      <c r="O606" t="str">
        <f t="shared" si="40"/>
        <v>Promoter</v>
      </c>
    </row>
    <row r="607" spans="1:15" ht="14.25" customHeight="1" x14ac:dyDescent="0.3">
      <c r="A607" s="3" t="s">
        <v>626</v>
      </c>
      <c r="B607" s="3" t="s">
        <v>1023</v>
      </c>
      <c r="C607" s="3" t="s">
        <v>12</v>
      </c>
      <c r="D607" s="13">
        <v>45938</v>
      </c>
      <c r="E607" s="13">
        <v>45941</v>
      </c>
      <c r="F607" s="13">
        <v>45946</v>
      </c>
      <c r="G607" s="13">
        <v>45952</v>
      </c>
      <c r="H607" s="3" t="s">
        <v>13</v>
      </c>
      <c r="J607" s="4">
        <v>45966</v>
      </c>
      <c r="K607" s="3">
        <v>3</v>
      </c>
      <c r="L607" s="18">
        <f t="shared" si="37"/>
        <v>3</v>
      </c>
      <c r="M607">
        <f t="shared" si="38"/>
        <v>5</v>
      </c>
      <c r="N607">
        <f t="shared" si="39"/>
        <v>6</v>
      </c>
      <c r="O607" t="str">
        <f t="shared" si="40"/>
        <v>Detractor</v>
      </c>
    </row>
    <row r="608" spans="1:15" ht="14.25" customHeight="1" x14ac:dyDescent="0.3">
      <c r="A608" s="3" t="s">
        <v>627</v>
      </c>
      <c r="B608" s="3" t="s">
        <v>1021</v>
      </c>
      <c r="C608" s="3" t="s">
        <v>12</v>
      </c>
      <c r="D608" s="13">
        <v>45946</v>
      </c>
      <c r="E608" s="13">
        <v>45950</v>
      </c>
      <c r="F608" s="13">
        <v>45955</v>
      </c>
      <c r="G608" s="13">
        <v>45962</v>
      </c>
      <c r="H608" s="3" t="s">
        <v>13</v>
      </c>
      <c r="J608" s="4">
        <v>45972</v>
      </c>
      <c r="K608" s="3">
        <v>2</v>
      </c>
      <c r="L608" s="18">
        <f t="shared" si="37"/>
        <v>4</v>
      </c>
      <c r="M608">
        <f t="shared" si="38"/>
        <v>5</v>
      </c>
      <c r="N608">
        <f t="shared" si="39"/>
        <v>7</v>
      </c>
      <c r="O608" t="str">
        <f t="shared" si="40"/>
        <v>Detractor</v>
      </c>
    </row>
    <row r="609" spans="1:15" ht="14.25" customHeight="1" x14ac:dyDescent="0.3">
      <c r="A609" s="3" t="s">
        <v>628</v>
      </c>
      <c r="B609" s="3" t="s">
        <v>1022</v>
      </c>
      <c r="C609" s="3" t="s">
        <v>24</v>
      </c>
      <c r="D609" s="13">
        <v>45960</v>
      </c>
      <c r="E609" s="13">
        <v>45964</v>
      </c>
      <c r="F609" s="13">
        <v>45968</v>
      </c>
      <c r="G609" s="13">
        <v>45970</v>
      </c>
      <c r="H609" s="3" t="s">
        <v>13</v>
      </c>
      <c r="J609" s="4">
        <v>46000</v>
      </c>
      <c r="K609" s="3">
        <v>4</v>
      </c>
      <c r="L609" s="18">
        <f t="shared" si="37"/>
        <v>4</v>
      </c>
      <c r="M609">
        <f t="shared" si="38"/>
        <v>4</v>
      </c>
      <c r="N609">
        <f t="shared" si="39"/>
        <v>2</v>
      </c>
      <c r="O609" t="str">
        <f t="shared" si="40"/>
        <v>Detractor</v>
      </c>
    </row>
    <row r="610" spans="1:15" ht="14.25" customHeight="1" x14ac:dyDescent="0.3">
      <c r="A610" s="3" t="s">
        <v>629</v>
      </c>
      <c r="B610" s="3" t="s">
        <v>1021</v>
      </c>
      <c r="C610" s="3" t="s">
        <v>12</v>
      </c>
      <c r="D610" s="13">
        <v>45949</v>
      </c>
      <c r="E610" s="13">
        <v>45953</v>
      </c>
      <c r="F610" s="13">
        <v>45957</v>
      </c>
      <c r="G610" s="13">
        <v>45962</v>
      </c>
      <c r="H610" s="3" t="s">
        <v>13</v>
      </c>
      <c r="J610" s="4">
        <v>45987</v>
      </c>
      <c r="K610" s="3">
        <v>0</v>
      </c>
      <c r="L610" s="18">
        <f t="shared" si="37"/>
        <v>4</v>
      </c>
      <c r="M610">
        <f t="shared" si="38"/>
        <v>4</v>
      </c>
      <c r="N610">
        <f t="shared" si="39"/>
        <v>5</v>
      </c>
      <c r="O610" t="str">
        <f t="shared" si="40"/>
        <v>Detractor</v>
      </c>
    </row>
    <row r="611" spans="1:15" ht="14.25" customHeight="1" x14ac:dyDescent="0.3">
      <c r="A611" s="3" t="s">
        <v>630</v>
      </c>
      <c r="B611" s="3" t="s">
        <v>1021</v>
      </c>
      <c r="C611" s="3" t="s">
        <v>24</v>
      </c>
      <c r="D611" s="13">
        <v>45935</v>
      </c>
      <c r="E611" s="13">
        <v>45939</v>
      </c>
      <c r="F611" s="13">
        <v>45940</v>
      </c>
      <c r="G611" s="13">
        <v>45945</v>
      </c>
      <c r="H611" s="3" t="s">
        <v>13</v>
      </c>
      <c r="J611" s="4">
        <v>45964</v>
      </c>
      <c r="K611" s="3">
        <v>1</v>
      </c>
      <c r="L611" s="18">
        <f t="shared" si="37"/>
        <v>4</v>
      </c>
      <c r="M611">
        <f t="shared" si="38"/>
        <v>1</v>
      </c>
      <c r="N611">
        <f t="shared" si="39"/>
        <v>5</v>
      </c>
      <c r="O611" t="str">
        <f t="shared" si="40"/>
        <v>Detractor</v>
      </c>
    </row>
    <row r="612" spans="1:15" ht="14.25" customHeight="1" x14ac:dyDescent="0.3">
      <c r="A612" s="3" t="s">
        <v>631</v>
      </c>
      <c r="B612" s="3" t="s">
        <v>1022</v>
      </c>
      <c r="C612" s="3" t="s">
        <v>24</v>
      </c>
      <c r="D612" s="13">
        <v>45938</v>
      </c>
      <c r="E612" s="13">
        <v>45941</v>
      </c>
      <c r="F612" s="13">
        <v>45942</v>
      </c>
      <c r="G612" s="13">
        <v>45948</v>
      </c>
      <c r="H612" s="3" t="s">
        <v>13</v>
      </c>
      <c r="J612" s="4">
        <v>45966</v>
      </c>
      <c r="K612" s="3">
        <v>1</v>
      </c>
      <c r="L612" s="18">
        <f t="shared" si="37"/>
        <v>3</v>
      </c>
      <c r="M612">
        <f t="shared" si="38"/>
        <v>1</v>
      </c>
      <c r="N612">
        <f t="shared" si="39"/>
        <v>6</v>
      </c>
      <c r="O612" t="str">
        <f t="shared" si="40"/>
        <v>Detractor</v>
      </c>
    </row>
    <row r="613" spans="1:15" ht="14.25" customHeight="1" x14ac:dyDescent="0.3">
      <c r="A613" s="3" t="s">
        <v>632</v>
      </c>
      <c r="B613" s="3" t="s">
        <v>1022</v>
      </c>
      <c r="C613" s="3" t="s">
        <v>12</v>
      </c>
      <c r="D613" s="13">
        <v>45945</v>
      </c>
      <c r="E613" s="13">
        <v>45947</v>
      </c>
      <c r="F613" s="13">
        <v>45952</v>
      </c>
      <c r="G613" s="13">
        <v>45956</v>
      </c>
      <c r="H613" s="3" t="s">
        <v>13</v>
      </c>
      <c r="J613" s="4">
        <v>45979</v>
      </c>
      <c r="K613" s="3">
        <v>2</v>
      </c>
      <c r="L613" s="18">
        <f t="shared" si="37"/>
        <v>2</v>
      </c>
      <c r="M613">
        <f t="shared" si="38"/>
        <v>5</v>
      </c>
      <c r="N613">
        <f t="shared" si="39"/>
        <v>4</v>
      </c>
      <c r="O613" t="str">
        <f t="shared" si="40"/>
        <v>Detractor</v>
      </c>
    </row>
    <row r="614" spans="1:15" ht="14.25" customHeight="1" x14ac:dyDescent="0.3">
      <c r="A614" s="3" t="s">
        <v>633</v>
      </c>
      <c r="B614" s="3" t="s">
        <v>1024</v>
      </c>
      <c r="C614" s="3" t="s">
        <v>12</v>
      </c>
      <c r="D614" s="13">
        <v>45951</v>
      </c>
      <c r="E614" s="13">
        <v>45955</v>
      </c>
      <c r="F614" s="13">
        <v>45960</v>
      </c>
      <c r="G614" s="13">
        <v>45962</v>
      </c>
      <c r="H614" s="3" t="s">
        <v>13</v>
      </c>
      <c r="J614" s="4">
        <v>45984</v>
      </c>
      <c r="K614" s="3">
        <v>8</v>
      </c>
      <c r="L614" s="18">
        <f t="shared" si="37"/>
        <v>4</v>
      </c>
      <c r="M614">
        <f t="shared" si="38"/>
        <v>5</v>
      </c>
      <c r="N614">
        <f t="shared" si="39"/>
        <v>2</v>
      </c>
      <c r="O614" t="str">
        <f t="shared" si="40"/>
        <v>Passive</v>
      </c>
    </row>
    <row r="615" spans="1:15" ht="14.25" customHeight="1" x14ac:dyDescent="0.3">
      <c r="A615" s="3" t="s">
        <v>634</v>
      </c>
      <c r="B615" s="3" t="s">
        <v>1022</v>
      </c>
      <c r="C615" s="3" t="s">
        <v>16</v>
      </c>
      <c r="D615" s="13">
        <v>45939</v>
      </c>
      <c r="H615" s="3" t="s">
        <v>17</v>
      </c>
      <c r="I615" s="3" t="s">
        <v>94</v>
      </c>
      <c r="M615">
        <f t="shared" si="38"/>
        <v>0</v>
      </c>
      <c r="N615">
        <f t="shared" si="39"/>
        <v>0</v>
      </c>
      <c r="O615" t="str">
        <f t="shared" si="40"/>
        <v>Detractor</v>
      </c>
    </row>
    <row r="616" spans="1:15" ht="14.25" customHeight="1" x14ac:dyDescent="0.3">
      <c r="A616" s="3" t="s">
        <v>635</v>
      </c>
      <c r="B616" s="3" t="s">
        <v>1023</v>
      </c>
      <c r="C616" s="3" t="s">
        <v>12</v>
      </c>
      <c r="D616" s="13">
        <v>45945</v>
      </c>
      <c r="E616" s="13">
        <v>45949</v>
      </c>
      <c r="F616" s="13">
        <v>45953</v>
      </c>
      <c r="G616" s="13">
        <v>45958</v>
      </c>
      <c r="H616" s="3" t="s">
        <v>13</v>
      </c>
      <c r="J616" s="4">
        <v>45980</v>
      </c>
      <c r="K616" s="3">
        <v>6</v>
      </c>
      <c r="L616" s="18">
        <f t="shared" si="37"/>
        <v>4</v>
      </c>
      <c r="M616">
        <f t="shared" si="38"/>
        <v>4</v>
      </c>
      <c r="N616">
        <f t="shared" si="39"/>
        <v>5</v>
      </c>
      <c r="O616" t="str">
        <f t="shared" si="40"/>
        <v>Detractor</v>
      </c>
    </row>
    <row r="617" spans="1:15" ht="14.25" customHeight="1" x14ac:dyDescent="0.3">
      <c r="A617" s="3" t="s">
        <v>636</v>
      </c>
      <c r="B617" s="3" t="s">
        <v>1021</v>
      </c>
      <c r="C617" s="3" t="s">
        <v>12</v>
      </c>
      <c r="D617" s="13">
        <v>45939</v>
      </c>
      <c r="E617" s="13">
        <v>45942</v>
      </c>
      <c r="F617" s="13">
        <v>45943</v>
      </c>
      <c r="G617" s="13">
        <v>45949</v>
      </c>
      <c r="H617" s="3" t="s">
        <v>13</v>
      </c>
      <c r="J617" s="4">
        <v>45960</v>
      </c>
      <c r="K617" s="3">
        <v>6</v>
      </c>
      <c r="L617" s="18">
        <f t="shared" si="37"/>
        <v>3</v>
      </c>
      <c r="M617">
        <f t="shared" si="38"/>
        <v>1</v>
      </c>
      <c r="N617">
        <f t="shared" si="39"/>
        <v>6</v>
      </c>
      <c r="O617" t="str">
        <f t="shared" si="40"/>
        <v>Detractor</v>
      </c>
    </row>
    <row r="618" spans="1:15" ht="14.25" customHeight="1" x14ac:dyDescent="0.3">
      <c r="A618" s="3" t="s">
        <v>637</v>
      </c>
      <c r="B618" s="3" t="s">
        <v>1021</v>
      </c>
      <c r="C618" s="3" t="s">
        <v>12</v>
      </c>
      <c r="D618" s="13">
        <v>45952</v>
      </c>
      <c r="E618" s="13">
        <v>45957</v>
      </c>
      <c r="F618" s="13">
        <v>45958</v>
      </c>
      <c r="G618" s="13">
        <v>45961</v>
      </c>
      <c r="H618" s="3" t="s">
        <v>13</v>
      </c>
      <c r="J618" s="4">
        <v>45989</v>
      </c>
      <c r="K618" s="3">
        <v>3</v>
      </c>
      <c r="L618" s="18">
        <f t="shared" si="37"/>
        <v>5</v>
      </c>
      <c r="M618">
        <f t="shared" si="38"/>
        <v>1</v>
      </c>
      <c r="N618">
        <f t="shared" si="39"/>
        <v>3</v>
      </c>
      <c r="O618" t="str">
        <f t="shared" si="40"/>
        <v>Detractor</v>
      </c>
    </row>
    <row r="619" spans="1:15" ht="14.25" customHeight="1" x14ac:dyDescent="0.3">
      <c r="A619" s="3" t="s">
        <v>638</v>
      </c>
      <c r="B619" s="3" t="s">
        <v>1023</v>
      </c>
      <c r="C619" s="3" t="s">
        <v>24</v>
      </c>
      <c r="D619" s="13">
        <v>45931</v>
      </c>
      <c r="E619" s="13">
        <v>45934</v>
      </c>
      <c r="F619" s="13">
        <v>45939</v>
      </c>
      <c r="G619" s="13">
        <v>45943</v>
      </c>
      <c r="H619" s="3" t="s">
        <v>13</v>
      </c>
      <c r="J619" s="4">
        <v>45971</v>
      </c>
      <c r="K619" s="3">
        <v>4</v>
      </c>
      <c r="L619" s="18">
        <f t="shared" si="37"/>
        <v>3</v>
      </c>
      <c r="M619">
        <f t="shared" si="38"/>
        <v>5</v>
      </c>
      <c r="N619">
        <f t="shared" si="39"/>
        <v>4</v>
      </c>
      <c r="O619" t="str">
        <f t="shared" si="40"/>
        <v>Detractor</v>
      </c>
    </row>
    <row r="620" spans="1:15" ht="14.25" customHeight="1" x14ac:dyDescent="0.3">
      <c r="A620" s="3" t="s">
        <v>639</v>
      </c>
      <c r="B620" s="3" t="s">
        <v>1022</v>
      </c>
      <c r="C620" s="3" t="s">
        <v>16</v>
      </c>
      <c r="D620" s="13">
        <v>45959</v>
      </c>
      <c r="H620" s="3" t="s">
        <v>17</v>
      </c>
      <c r="I620" s="3" t="s">
        <v>94</v>
      </c>
      <c r="M620">
        <f t="shared" si="38"/>
        <v>0</v>
      </c>
      <c r="N620">
        <f t="shared" si="39"/>
        <v>0</v>
      </c>
      <c r="O620" t="str">
        <f t="shared" si="40"/>
        <v>Detractor</v>
      </c>
    </row>
    <row r="621" spans="1:15" ht="14.25" customHeight="1" x14ac:dyDescent="0.3">
      <c r="A621" s="3" t="s">
        <v>640</v>
      </c>
      <c r="B621" s="3" t="s">
        <v>1023</v>
      </c>
      <c r="C621" s="3" t="s">
        <v>12</v>
      </c>
      <c r="D621" s="13">
        <v>45956</v>
      </c>
      <c r="E621" s="13">
        <v>45957</v>
      </c>
      <c r="F621" s="13">
        <v>45960</v>
      </c>
      <c r="G621" s="13">
        <v>45963</v>
      </c>
      <c r="H621" s="3" t="s">
        <v>17</v>
      </c>
      <c r="I621" s="3" t="s">
        <v>56</v>
      </c>
      <c r="L621" s="18">
        <f t="shared" si="37"/>
        <v>1</v>
      </c>
      <c r="M621">
        <f t="shared" si="38"/>
        <v>3</v>
      </c>
      <c r="N621">
        <f t="shared" si="39"/>
        <v>3</v>
      </c>
      <c r="O621" t="str">
        <f t="shared" si="40"/>
        <v>Detractor</v>
      </c>
    </row>
    <row r="622" spans="1:15" ht="14.25" customHeight="1" x14ac:dyDescent="0.3">
      <c r="A622" s="3" t="s">
        <v>641</v>
      </c>
      <c r="B622" s="3" t="s">
        <v>1023</v>
      </c>
      <c r="C622" s="3" t="s">
        <v>12</v>
      </c>
      <c r="D622" s="13">
        <v>45945</v>
      </c>
      <c r="E622" s="13">
        <v>45949</v>
      </c>
      <c r="F622" s="13">
        <v>45954</v>
      </c>
      <c r="G622" s="13">
        <v>45958</v>
      </c>
      <c r="H622" s="3" t="s">
        <v>17</v>
      </c>
      <c r="I622" s="3" t="s">
        <v>26</v>
      </c>
      <c r="L622" s="18">
        <f t="shared" si="37"/>
        <v>4</v>
      </c>
      <c r="M622">
        <f t="shared" si="38"/>
        <v>5</v>
      </c>
      <c r="N622">
        <f t="shared" si="39"/>
        <v>4</v>
      </c>
      <c r="O622" t="str">
        <f t="shared" si="40"/>
        <v>Detractor</v>
      </c>
    </row>
    <row r="623" spans="1:15" ht="14.25" customHeight="1" x14ac:dyDescent="0.3">
      <c r="A623" s="3" t="s">
        <v>642</v>
      </c>
      <c r="B623" s="3" t="s">
        <v>1024</v>
      </c>
      <c r="C623" s="3" t="s">
        <v>24</v>
      </c>
      <c r="D623" s="13">
        <v>45959</v>
      </c>
      <c r="E623" s="13">
        <v>45960</v>
      </c>
      <c r="F623" s="13">
        <v>45963</v>
      </c>
      <c r="G623" s="13">
        <v>45965</v>
      </c>
      <c r="H623" s="3" t="s">
        <v>13</v>
      </c>
      <c r="J623" s="4">
        <v>45981</v>
      </c>
      <c r="K623" s="3">
        <v>6</v>
      </c>
      <c r="L623" s="18">
        <f t="shared" si="37"/>
        <v>1</v>
      </c>
      <c r="M623">
        <f t="shared" si="38"/>
        <v>3</v>
      </c>
      <c r="N623">
        <f t="shared" si="39"/>
        <v>2</v>
      </c>
      <c r="O623" t="str">
        <f t="shared" si="40"/>
        <v>Detractor</v>
      </c>
    </row>
    <row r="624" spans="1:15" ht="14.25" customHeight="1" x14ac:dyDescent="0.3">
      <c r="A624" s="3" t="s">
        <v>643</v>
      </c>
      <c r="B624" s="3" t="s">
        <v>1023</v>
      </c>
      <c r="C624" s="3" t="s">
        <v>12</v>
      </c>
      <c r="D624" s="13">
        <v>45940</v>
      </c>
      <c r="E624" s="13">
        <v>45944</v>
      </c>
      <c r="F624" s="13">
        <v>45945</v>
      </c>
      <c r="G624" s="13">
        <v>45951</v>
      </c>
      <c r="H624" s="3" t="s">
        <v>13</v>
      </c>
      <c r="J624" s="4">
        <v>45971</v>
      </c>
      <c r="K624" s="3">
        <v>9</v>
      </c>
      <c r="L624" s="18">
        <f t="shared" si="37"/>
        <v>4</v>
      </c>
      <c r="M624">
        <f t="shared" si="38"/>
        <v>1</v>
      </c>
      <c r="N624">
        <f t="shared" si="39"/>
        <v>6</v>
      </c>
      <c r="O624" t="str">
        <f t="shared" si="40"/>
        <v>Promoter</v>
      </c>
    </row>
    <row r="625" spans="1:15" ht="14.25" customHeight="1" x14ac:dyDescent="0.3">
      <c r="A625" s="3" t="s">
        <v>644</v>
      </c>
      <c r="B625" s="3" t="s">
        <v>1021</v>
      </c>
      <c r="C625" s="3" t="s">
        <v>12</v>
      </c>
      <c r="D625" s="13">
        <v>45952</v>
      </c>
      <c r="E625" s="13">
        <v>45957</v>
      </c>
      <c r="F625" s="13">
        <v>45962</v>
      </c>
      <c r="G625" s="13">
        <v>45969</v>
      </c>
      <c r="H625" s="3" t="s">
        <v>13</v>
      </c>
      <c r="J625" s="4">
        <v>45986</v>
      </c>
      <c r="K625" s="3">
        <v>8</v>
      </c>
      <c r="L625" s="18">
        <f t="shared" si="37"/>
        <v>5</v>
      </c>
      <c r="M625">
        <f t="shared" si="38"/>
        <v>5</v>
      </c>
      <c r="N625">
        <f t="shared" si="39"/>
        <v>7</v>
      </c>
      <c r="O625" t="str">
        <f t="shared" si="40"/>
        <v>Passive</v>
      </c>
    </row>
    <row r="626" spans="1:15" ht="14.25" customHeight="1" x14ac:dyDescent="0.3">
      <c r="A626" s="3" t="s">
        <v>645</v>
      </c>
      <c r="B626" s="3" t="s">
        <v>1023</v>
      </c>
      <c r="C626" s="3" t="s">
        <v>16</v>
      </c>
      <c r="D626" s="13">
        <v>45948</v>
      </c>
      <c r="H626" s="3" t="s">
        <v>17</v>
      </c>
      <c r="I626" s="3" t="s">
        <v>94</v>
      </c>
      <c r="M626">
        <f t="shared" si="38"/>
        <v>0</v>
      </c>
      <c r="N626">
        <f t="shared" si="39"/>
        <v>0</v>
      </c>
      <c r="O626" t="str">
        <f t="shared" si="40"/>
        <v>Detractor</v>
      </c>
    </row>
    <row r="627" spans="1:15" ht="14.25" customHeight="1" x14ac:dyDescent="0.3">
      <c r="A627" s="3" t="s">
        <v>646</v>
      </c>
      <c r="B627" s="3" t="s">
        <v>1021</v>
      </c>
      <c r="C627" s="3" t="s">
        <v>24</v>
      </c>
      <c r="D627" s="13">
        <v>45936</v>
      </c>
      <c r="E627" s="13">
        <v>45938</v>
      </c>
      <c r="F627" s="13">
        <v>45942</v>
      </c>
      <c r="G627" s="13">
        <v>45949</v>
      </c>
      <c r="H627" s="3" t="s">
        <v>13</v>
      </c>
      <c r="J627" s="4">
        <v>45976</v>
      </c>
      <c r="K627" s="3">
        <v>0</v>
      </c>
      <c r="L627" s="18">
        <f t="shared" si="37"/>
        <v>2</v>
      </c>
      <c r="M627">
        <f t="shared" si="38"/>
        <v>4</v>
      </c>
      <c r="N627">
        <f t="shared" si="39"/>
        <v>7</v>
      </c>
      <c r="O627" t="str">
        <f t="shared" si="40"/>
        <v>Detractor</v>
      </c>
    </row>
    <row r="628" spans="1:15" ht="14.25" customHeight="1" x14ac:dyDescent="0.3">
      <c r="A628" s="3" t="s">
        <v>647</v>
      </c>
      <c r="B628" s="3" t="s">
        <v>1021</v>
      </c>
      <c r="C628" s="3" t="s">
        <v>12</v>
      </c>
      <c r="D628" s="13">
        <v>45933</v>
      </c>
      <c r="E628" s="13">
        <v>45938</v>
      </c>
      <c r="F628" s="13">
        <v>45940</v>
      </c>
      <c r="G628" s="13">
        <v>45942</v>
      </c>
      <c r="H628" s="3" t="s">
        <v>13</v>
      </c>
      <c r="J628" s="4">
        <v>45972</v>
      </c>
      <c r="K628" s="3">
        <v>1</v>
      </c>
      <c r="L628" s="18">
        <f t="shared" si="37"/>
        <v>5</v>
      </c>
      <c r="M628">
        <f t="shared" si="38"/>
        <v>2</v>
      </c>
      <c r="N628">
        <f t="shared" si="39"/>
        <v>2</v>
      </c>
      <c r="O628" t="str">
        <f t="shared" si="40"/>
        <v>Detractor</v>
      </c>
    </row>
    <row r="629" spans="1:15" ht="14.25" customHeight="1" x14ac:dyDescent="0.3">
      <c r="A629" s="3" t="s">
        <v>648</v>
      </c>
      <c r="B629" s="3" t="s">
        <v>1021</v>
      </c>
      <c r="C629" s="3" t="s">
        <v>16</v>
      </c>
      <c r="D629" s="13">
        <v>45945</v>
      </c>
      <c r="H629" s="3" t="s">
        <v>17</v>
      </c>
      <c r="I629" s="3" t="s">
        <v>94</v>
      </c>
      <c r="M629">
        <f t="shared" si="38"/>
        <v>0</v>
      </c>
      <c r="N629">
        <f t="shared" si="39"/>
        <v>0</v>
      </c>
      <c r="O629" t="str">
        <f t="shared" si="40"/>
        <v>Detractor</v>
      </c>
    </row>
    <row r="630" spans="1:15" ht="14.25" customHeight="1" x14ac:dyDescent="0.3">
      <c r="A630" s="3" t="s">
        <v>649</v>
      </c>
      <c r="B630" s="3" t="s">
        <v>1022</v>
      </c>
      <c r="C630" s="3" t="s">
        <v>12</v>
      </c>
      <c r="D630" s="13">
        <v>45961</v>
      </c>
      <c r="E630" s="13">
        <v>45964</v>
      </c>
      <c r="F630" s="13">
        <v>45965</v>
      </c>
      <c r="G630" s="13">
        <v>45968</v>
      </c>
      <c r="H630" s="3" t="s">
        <v>17</v>
      </c>
      <c r="I630" s="3" t="s">
        <v>20</v>
      </c>
      <c r="L630" s="18">
        <f t="shared" si="37"/>
        <v>3</v>
      </c>
      <c r="M630">
        <f t="shared" si="38"/>
        <v>1</v>
      </c>
      <c r="N630">
        <f t="shared" si="39"/>
        <v>3</v>
      </c>
      <c r="O630" t="str">
        <f t="shared" si="40"/>
        <v>Detractor</v>
      </c>
    </row>
    <row r="631" spans="1:15" ht="14.25" customHeight="1" x14ac:dyDescent="0.3">
      <c r="A631" s="3" t="s">
        <v>650</v>
      </c>
      <c r="B631" s="3" t="s">
        <v>1024</v>
      </c>
      <c r="C631" s="3" t="s">
        <v>12</v>
      </c>
      <c r="D631" s="13">
        <v>45942</v>
      </c>
      <c r="E631" s="13">
        <v>45945</v>
      </c>
      <c r="F631" s="13">
        <v>45946</v>
      </c>
      <c r="G631" s="13">
        <v>45953</v>
      </c>
      <c r="H631" s="3" t="s">
        <v>13</v>
      </c>
      <c r="J631" s="4">
        <v>45978</v>
      </c>
      <c r="K631" s="3">
        <v>3</v>
      </c>
      <c r="L631" s="18">
        <f t="shared" si="37"/>
        <v>3</v>
      </c>
      <c r="M631">
        <f t="shared" si="38"/>
        <v>1</v>
      </c>
      <c r="N631">
        <f t="shared" si="39"/>
        <v>7</v>
      </c>
      <c r="O631" t="str">
        <f t="shared" si="40"/>
        <v>Detractor</v>
      </c>
    </row>
    <row r="632" spans="1:15" ht="14.25" customHeight="1" x14ac:dyDescent="0.3">
      <c r="A632" s="3" t="s">
        <v>651</v>
      </c>
      <c r="B632" s="3" t="s">
        <v>1021</v>
      </c>
      <c r="C632" s="3" t="s">
        <v>24</v>
      </c>
      <c r="D632" s="13">
        <v>45949</v>
      </c>
      <c r="E632" s="13">
        <v>45950</v>
      </c>
      <c r="F632" s="13">
        <v>45955</v>
      </c>
      <c r="G632" s="13">
        <v>45961</v>
      </c>
      <c r="H632" s="3" t="s">
        <v>13</v>
      </c>
      <c r="J632" s="4">
        <v>45982</v>
      </c>
      <c r="K632" s="3">
        <v>1</v>
      </c>
      <c r="L632" s="18">
        <f t="shared" si="37"/>
        <v>1</v>
      </c>
      <c r="M632">
        <f t="shared" si="38"/>
        <v>5</v>
      </c>
      <c r="N632">
        <f t="shared" si="39"/>
        <v>6</v>
      </c>
      <c r="O632" t="str">
        <f t="shared" si="40"/>
        <v>Detractor</v>
      </c>
    </row>
    <row r="633" spans="1:15" ht="14.25" customHeight="1" x14ac:dyDescent="0.3">
      <c r="A633" s="3" t="s">
        <v>652</v>
      </c>
      <c r="B633" s="3" t="s">
        <v>1021</v>
      </c>
      <c r="C633" s="3" t="s">
        <v>16</v>
      </c>
      <c r="D633" s="13">
        <v>45940</v>
      </c>
      <c r="H633" s="3" t="s">
        <v>17</v>
      </c>
      <c r="I633" s="3" t="s">
        <v>56</v>
      </c>
      <c r="M633">
        <f t="shared" si="38"/>
        <v>0</v>
      </c>
      <c r="N633">
        <f t="shared" si="39"/>
        <v>0</v>
      </c>
      <c r="O633" t="str">
        <f t="shared" si="40"/>
        <v>Detractor</v>
      </c>
    </row>
    <row r="634" spans="1:15" ht="14.25" customHeight="1" x14ac:dyDescent="0.3">
      <c r="A634" s="3" t="s">
        <v>653</v>
      </c>
      <c r="B634" s="3" t="s">
        <v>1022</v>
      </c>
      <c r="C634" s="3" t="s">
        <v>24</v>
      </c>
      <c r="D634" s="13">
        <v>45951</v>
      </c>
      <c r="E634" s="13">
        <v>45952</v>
      </c>
      <c r="F634" s="13">
        <v>45954</v>
      </c>
      <c r="G634" s="13">
        <v>45956</v>
      </c>
      <c r="H634" s="3" t="s">
        <v>13</v>
      </c>
      <c r="J634" s="4">
        <v>45982</v>
      </c>
      <c r="K634" s="3">
        <v>9</v>
      </c>
      <c r="L634" s="18">
        <f t="shared" si="37"/>
        <v>1</v>
      </c>
      <c r="M634">
        <f t="shared" si="38"/>
        <v>2</v>
      </c>
      <c r="N634">
        <f t="shared" si="39"/>
        <v>2</v>
      </c>
      <c r="O634" t="str">
        <f t="shared" si="40"/>
        <v>Promoter</v>
      </c>
    </row>
    <row r="635" spans="1:15" ht="14.25" customHeight="1" x14ac:dyDescent="0.3">
      <c r="A635" s="3" t="s">
        <v>654</v>
      </c>
      <c r="B635" s="3" t="s">
        <v>1021</v>
      </c>
      <c r="C635" s="3" t="s">
        <v>12</v>
      </c>
      <c r="D635" s="13">
        <v>45961</v>
      </c>
      <c r="E635" s="13">
        <v>45964</v>
      </c>
      <c r="F635" s="13">
        <v>45966</v>
      </c>
      <c r="G635" s="13">
        <v>45968</v>
      </c>
      <c r="H635" s="3" t="s">
        <v>13</v>
      </c>
      <c r="J635" s="4">
        <v>45987</v>
      </c>
      <c r="K635" s="3">
        <v>3</v>
      </c>
      <c r="L635" s="18">
        <f t="shared" si="37"/>
        <v>3</v>
      </c>
      <c r="M635">
        <f t="shared" si="38"/>
        <v>2</v>
      </c>
      <c r="N635">
        <f t="shared" si="39"/>
        <v>2</v>
      </c>
      <c r="O635" t="str">
        <f t="shared" si="40"/>
        <v>Detractor</v>
      </c>
    </row>
    <row r="636" spans="1:15" ht="14.25" customHeight="1" x14ac:dyDescent="0.3">
      <c r="A636" s="3" t="s">
        <v>655</v>
      </c>
      <c r="B636" s="3" t="s">
        <v>1023</v>
      </c>
      <c r="C636" s="3" t="s">
        <v>12</v>
      </c>
      <c r="D636" s="13">
        <v>45944</v>
      </c>
      <c r="E636" s="13">
        <v>45947</v>
      </c>
      <c r="F636" s="13">
        <v>45949</v>
      </c>
      <c r="G636" s="13">
        <v>45951</v>
      </c>
      <c r="H636" s="3" t="s">
        <v>13</v>
      </c>
      <c r="J636" s="4">
        <v>45966</v>
      </c>
      <c r="K636" s="3">
        <v>5</v>
      </c>
      <c r="L636" s="18">
        <f t="shared" si="37"/>
        <v>3</v>
      </c>
      <c r="M636">
        <f t="shared" si="38"/>
        <v>2</v>
      </c>
      <c r="N636">
        <f t="shared" si="39"/>
        <v>2</v>
      </c>
      <c r="O636" t="str">
        <f t="shared" si="40"/>
        <v>Detractor</v>
      </c>
    </row>
    <row r="637" spans="1:15" ht="14.25" customHeight="1" x14ac:dyDescent="0.3">
      <c r="A637" s="3" t="s">
        <v>656</v>
      </c>
      <c r="B637" s="3" t="s">
        <v>1023</v>
      </c>
      <c r="C637" s="3" t="s">
        <v>24</v>
      </c>
      <c r="D637" s="13">
        <v>45953</v>
      </c>
      <c r="E637" s="13">
        <v>45956</v>
      </c>
      <c r="F637" s="13">
        <v>45961</v>
      </c>
      <c r="G637" s="13">
        <v>45964</v>
      </c>
      <c r="H637" s="3" t="s">
        <v>17</v>
      </c>
      <c r="I637" s="3" t="s">
        <v>94</v>
      </c>
      <c r="L637" s="18">
        <f t="shared" si="37"/>
        <v>3</v>
      </c>
      <c r="M637">
        <f t="shared" si="38"/>
        <v>5</v>
      </c>
      <c r="N637">
        <f t="shared" si="39"/>
        <v>3</v>
      </c>
      <c r="O637" t="str">
        <f t="shared" si="40"/>
        <v>Detractor</v>
      </c>
    </row>
    <row r="638" spans="1:15" ht="14.25" customHeight="1" x14ac:dyDescent="0.3">
      <c r="A638" s="3" t="s">
        <v>657</v>
      </c>
      <c r="B638" s="3" t="s">
        <v>1024</v>
      </c>
      <c r="C638" s="3" t="s">
        <v>12</v>
      </c>
      <c r="D638" s="13">
        <v>45939</v>
      </c>
      <c r="E638" s="13">
        <v>45943</v>
      </c>
      <c r="F638" s="13">
        <v>45948</v>
      </c>
      <c r="G638" s="13">
        <v>45950</v>
      </c>
      <c r="H638" s="3" t="s">
        <v>13</v>
      </c>
      <c r="J638" s="4">
        <v>45977</v>
      </c>
      <c r="K638" s="3">
        <v>3</v>
      </c>
      <c r="L638" s="18">
        <f t="shared" si="37"/>
        <v>4</v>
      </c>
      <c r="M638">
        <f t="shared" si="38"/>
        <v>5</v>
      </c>
      <c r="N638">
        <f t="shared" si="39"/>
        <v>2</v>
      </c>
      <c r="O638" t="str">
        <f t="shared" si="40"/>
        <v>Detractor</v>
      </c>
    </row>
    <row r="639" spans="1:15" ht="14.25" customHeight="1" x14ac:dyDescent="0.3">
      <c r="A639" s="3" t="s">
        <v>658</v>
      </c>
      <c r="B639" s="3" t="s">
        <v>1021</v>
      </c>
      <c r="C639" s="3" t="s">
        <v>24</v>
      </c>
      <c r="D639" s="13">
        <v>45945</v>
      </c>
      <c r="E639" s="13">
        <v>45950</v>
      </c>
      <c r="F639" s="13">
        <v>45953</v>
      </c>
      <c r="G639" s="13">
        <v>45958</v>
      </c>
      <c r="H639" s="3" t="s">
        <v>13</v>
      </c>
      <c r="J639" s="4">
        <v>45973</v>
      </c>
      <c r="K639" s="3">
        <v>2</v>
      </c>
      <c r="L639" s="18">
        <f t="shared" si="37"/>
        <v>5</v>
      </c>
      <c r="M639">
        <f t="shared" si="38"/>
        <v>3</v>
      </c>
      <c r="N639">
        <f t="shared" si="39"/>
        <v>5</v>
      </c>
      <c r="O639" t="str">
        <f t="shared" si="40"/>
        <v>Detractor</v>
      </c>
    </row>
    <row r="640" spans="1:15" ht="14.25" customHeight="1" x14ac:dyDescent="0.3">
      <c r="A640" s="3" t="s">
        <v>659</v>
      </c>
      <c r="B640" s="3" t="s">
        <v>1022</v>
      </c>
      <c r="C640" s="3" t="s">
        <v>24</v>
      </c>
      <c r="D640" s="13">
        <v>45958</v>
      </c>
      <c r="E640" s="13">
        <v>45962</v>
      </c>
      <c r="F640" s="13">
        <v>45965</v>
      </c>
      <c r="G640" s="13">
        <v>45969</v>
      </c>
      <c r="H640" s="3" t="s">
        <v>13</v>
      </c>
      <c r="J640" s="4">
        <v>45988</v>
      </c>
      <c r="K640" s="3">
        <v>1</v>
      </c>
      <c r="L640" s="18">
        <f t="shared" si="37"/>
        <v>4</v>
      </c>
      <c r="M640">
        <f t="shared" si="38"/>
        <v>3</v>
      </c>
      <c r="N640">
        <f t="shared" si="39"/>
        <v>4</v>
      </c>
      <c r="O640" t="str">
        <f t="shared" si="40"/>
        <v>Detractor</v>
      </c>
    </row>
    <row r="641" spans="1:15" ht="14.25" customHeight="1" x14ac:dyDescent="0.3">
      <c r="A641" s="3" t="s">
        <v>660</v>
      </c>
      <c r="B641" s="3" t="s">
        <v>1023</v>
      </c>
      <c r="C641" s="3" t="s">
        <v>12</v>
      </c>
      <c r="D641" s="13">
        <v>45940</v>
      </c>
      <c r="E641" s="13">
        <v>45942</v>
      </c>
      <c r="F641" s="13">
        <v>45945</v>
      </c>
      <c r="G641" s="13">
        <v>45950</v>
      </c>
      <c r="H641" s="3" t="s">
        <v>13</v>
      </c>
      <c r="J641" s="4">
        <v>45963</v>
      </c>
      <c r="K641" s="3">
        <v>8</v>
      </c>
      <c r="L641" s="18">
        <f t="shared" si="37"/>
        <v>2</v>
      </c>
      <c r="M641">
        <f t="shared" si="38"/>
        <v>3</v>
      </c>
      <c r="N641">
        <f t="shared" si="39"/>
        <v>5</v>
      </c>
      <c r="O641" t="str">
        <f t="shared" si="40"/>
        <v>Passive</v>
      </c>
    </row>
    <row r="642" spans="1:15" ht="14.25" customHeight="1" x14ac:dyDescent="0.3">
      <c r="A642" s="3" t="s">
        <v>661</v>
      </c>
      <c r="B642" s="3" t="s">
        <v>1022</v>
      </c>
      <c r="C642" s="3" t="s">
        <v>16</v>
      </c>
      <c r="D642" s="13">
        <v>45937</v>
      </c>
      <c r="H642" s="3" t="s">
        <v>17</v>
      </c>
      <c r="I642" s="3" t="s">
        <v>20</v>
      </c>
      <c r="M642">
        <f t="shared" si="38"/>
        <v>0</v>
      </c>
      <c r="N642">
        <f t="shared" si="39"/>
        <v>0</v>
      </c>
      <c r="O642" t="str">
        <f t="shared" si="40"/>
        <v>Detractor</v>
      </c>
    </row>
    <row r="643" spans="1:15" ht="14.25" customHeight="1" x14ac:dyDescent="0.3">
      <c r="A643" s="3" t="s">
        <v>662</v>
      </c>
      <c r="B643" s="3" t="s">
        <v>1022</v>
      </c>
      <c r="C643" s="3" t="s">
        <v>12</v>
      </c>
      <c r="D643" s="13">
        <v>45943</v>
      </c>
      <c r="E643" s="13">
        <v>45947</v>
      </c>
      <c r="F643" s="13">
        <v>45951</v>
      </c>
      <c r="G643" s="13">
        <v>45954</v>
      </c>
      <c r="H643" s="3" t="s">
        <v>13</v>
      </c>
      <c r="J643" s="4">
        <v>45979</v>
      </c>
      <c r="K643" s="3">
        <v>9</v>
      </c>
      <c r="L643" s="18">
        <f t="shared" ref="L643:L706" si="41">E643-D643</f>
        <v>4</v>
      </c>
      <c r="M643">
        <f t="shared" ref="M643:M706" si="42">F643-E643</f>
        <v>4</v>
      </c>
      <c r="N643">
        <f t="shared" ref="N643:N706" si="43">G643-F643</f>
        <v>3</v>
      </c>
      <c r="O643" t="str">
        <f t="shared" ref="O643:O706" si="44">IF(K643&gt;=9,"Promoter",IF(K643&lt;=6,"Detractor","Passive"))</f>
        <v>Promoter</v>
      </c>
    </row>
    <row r="644" spans="1:15" ht="14.25" customHeight="1" x14ac:dyDescent="0.3">
      <c r="A644" s="3" t="s">
        <v>663</v>
      </c>
      <c r="B644" s="3" t="s">
        <v>1023</v>
      </c>
      <c r="C644" s="3" t="s">
        <v>12</v>
      </c>
      <c r="D644" s="13">
        <v>45958</v>
      </c>
      <c r="E644" s="13">
        <v>45961</v>
      </c>
      <c r="F644" s="13">
        <v>45962</v>
      </c>
      <c r="G644" s="13">
        <v>45965</v>
      </c>
      <c r="H644" s="3" t="s">
        <v>13</v>
      </c>
      <c r="J644" s="4">
        <v>45979</v>
      </c>
      <c r="K644" s="3">
        <v>4</v>
      </c>
      <c r="L644" s="18">
        <f t="shared" si="41"/>
        <v>3</v>
      </c>
      <c r="M644">
        <f t="shared" si="42"/>
        <v>1</v>
      </c>
      <c r="N644">
        <f t="shared" si="43"/>
        <v>3</v>
      </c>
      <c r="O644" t="str">
        <f t="shared" si="44"/>
        <v>Detractor</v>
      </c>
    </row>
    <row r="645" spans="1:15" ht="14.25" customHeight="1" x14ac:dyDescent="0.3">
      <c r="A645" s="3" t="s">
        <v>664</v>
      </c>
      <c r="B645" s="3" t="s">
        <v>1022</v>
      </c>
      <c r="C645" s="3" t="s">
        <v>24</v>
      </c>
      <c r="D645" s="13">
        <v>45946</v>
      </c>
      <c r="E645" s="13">
        <v>45950</v>
      </c>
      <c r="F645" s="13">
        <v>45953</v>
      </c>
      <c r="G645" s="13">
        <v>45955</v>
      </c>
      <c r="H645" s="3" t="s">
        <v>13</v>
      </c>
      <c r="J645" s="4">
        <v>45973</v>
      </c>
      <c r="K645" s="3">
        <v>4</v>
      </c>
      <c r="L645" s="18">
        <f t="shared" si="41"/>
        <v>4</v>
      </c>
      <c r="M645">
        <f t="shared" si="42"/>
        <v>3</v>
      </c>
      <c r="N645">
        <f t="shared" si="43"/>
        <v>2</v>
      </c>
      <c r="O645" t="str">
        <f t="shared" si="44"/>
        <v>Detractor</v>
      </c>
    </row>
    <row r="646" spans="1:15" ht="14.25" customHeight="1" x14ac:dyDescent="0.3">
      <c r="A646" s="3" t="s">
        <v>665</v>
      </c>
      <c r="B646" s="3" t="s">
        <v>1023</v>
      </c>
      <c r="C646" s="3" t="s">
        <v>24</v>
      </c>
      <c r="D646" s="13">
        <v>45934</v>
      </c>
      <c r="E646" s="13">
        <v>45935</v>
      </c>
      <c r="F646" s="13">
        <v>45939</v>
      </c>
      <c r="G646" s="13">
        <v>45945</v>
      </c>
      <c r="H646" s="3" t="s">
        <v>13</v>
      </c>
      <c r="J646" s="4">
        <v>45972</v>
      </c>
      <c r="K646" s="3">
        <v>1</v>
      </c>
      <c r="L646" s="18">
        <f t="shared" si="41"/>
        <v>1</v>
      </c>
      <c r="M646">
        <f t="shared" si="42"/>
        <v>4</v>
      </c>
      <c r="N646">
        <f t="shared" si="43"/>
        <v>6</v>
      </c>
      <c r="O646" t="str">
        <f t="shared" si="44"/>
        <v>Detractor</v>
      </c>
    </row>
    <row r="647" spans="1:15" ht="14.25" customHeight="1" x14ac:dyDescent="0.3">
      <c r="A647" s="3" t="s">
        <v>666</v>
      </c>
      <c r="B647" s="3" t="s">
        <v>1022</v>
      </c>
      <c r="C647" s="3" t="s">
        <v>24</v>
      </c>
      <c r="D647" s="13">
        <v>45938</v>
      </c>
      <c r="E647" s="13">
        <v>45941</v>
      </c>
      <c r="F647" s="13">
        <v>45945</v>
      </c>
      <c r="G647" s="13">
        <v>45952</v>
      </c>
      <c r="H647" s="3" t="s">
        <v>13</v>
      </c>
      <c r="J647" s="4">
        <v>45967</v>
      </c>
      <c r="K647" s="3">
        <v>0</v>
      </c>
      <c r="L647" s="18">
        <f t="shared" si="41"/>
        <v>3</v>
      </c>
      <c r="M647">
        <f t="shared" si="42"/>
        <v>4</v>
      </c>
      <c r="N647">
        <f t="shared" si="43"/>
        <v>7</v>
      </c>
      <c r="O647" t="str">
        <f t="shared" si="44"/>
        <v>Detractor</v>
      </c>
    </row>
    <row r="648" spans="1:15" ht="14.25" customHeight="1" x14ac:dyDescent="0.3">
      <c r="A648" s="3" t="s">
        <v>667</v>
      </c>
      <c r="B648" s="3" t="s">
        <v>1023</v>
      </c>
      <c r="C648" s="3" t="s">
        <v>24</v>
      </c>
      <c r="D648" s="13">
        <v>45943</v>
      </c>
      <c r="E648" s="13">
        <v>45948</v>
      </c>
      <c r="F648" s="13">
        <v>45953</v>
      </c>
      <c r="G648" s="13">
        <v>45960</v>
      </c>
      <c r="H648" s="3" t="s">
        <v>13</v>
      </c>
      <c r="J648" s="4">
        <v>45980</v>
      </c>
      <c r="K648" s="3">
        <v>6</v>
      </c>
      <c r="L648" s="18">
        <f t="shared" si="41"/>
        <v>5</v>
      </c>
      <c r="M648">
        <f t="shared" si="42"/>
        <v>5</v>
      </c>
      <c r="N648">
        <f t="shared" si="43"/>
        <v>7</v>
      </c>
      <c r="O648" t="str">
        <f t="shared" si="44"/>
        <v>Detractor</v>
      </c>
    </row>
    <row r="649" spans="1:15" ht="14.25" customHeight="1" x14ac:dyDescent="0.3">
      <c r="A649" s="3" t="s">
        <v>668</v>
      </c>
      <c r="B649" s="3" t="s">
        <v>1021</v>
      </c>
      <c r="C649" s="3" t="s">
        <v>12</v>
      </c>
      <c r="D649" s="13">
        <v>45949</v>
      </c>
      <c r="E649" s="13">
        <v>45953</v>
      </c>
      <c r="F649" s="13">
        <v>45955</v>
      </c>
      <c r="G649" s="13">
        <v>45962</v>
      </c>
      <c r="H649" s="3" t="s">
        <v>13</v>
      </c>
      <c r="J649" s="4">
        <v>45992</v>
      </c>
      <c r="K649" s="3">
        <v>5</v>
      </c>
      <c r="L649" s="18">
        <f t="shared" si="41"/>
        <v>4</v>
      </c>
      <c r="M649">
        <f t="shared" si="42"/>
        <v>2</v>
      </c>
      <c r="N649">
        <f t="shared" si="43"/>
        <v>7</v>
      </c>
      <c r="O649" t="str">
        <f t="shared" si="44"/>
        <v>Detractor</v>
      </c>
    </row>
    <row r="650" spans="1:15" ht="14.25" customHeight="1" x14ac:dyDescent="0.3">
      <c r="A650" s="3" t="s">
        <v>669</v>
      </c>
      <c r="B650" s="3" t="s">
        <v>1024</v>
      </c>
      <c r="C650" s="3" t="s">
        <v>12</v>
      </c>
      <c r="D650" s="13">
        <v>45942</v>
      </c>
      <c r="E650" s="13">
        <v>45945</v>
      </c>
      <c r="F650" s="13">
        <v>45947</v>
      </c>
      <c r="G650" s="13">
        <v>45952</v>
      </c>
      <c r="H650" s="3" t="s">
        <v>13</v>
      </c>
      <c r="J650" s="4">
        <v>45964</v>
      </c>
      <c r="K650" s="3">
        <v>0</v>
      </c>
      <c r="L650" s="18">
        <f t="shared" si="41"/>
        <v>3</v>
      </c>
      <c r="M650">
        <f t="shared" si="42"/>
        <v>2</v>
      </c>
      <c r="N650">
        <f t="shared" si="43"/>
        <v>5</v>
      </c>
      <c r="O650" t="str">
        <f t="shared" si="44"/>
        <v>Detractor</v>
      </c>
    </row>
    <row r="651" spans="1:15" ht="14.25" customHeight="1" x14ac:dyDescent="0.3">
      <c r="A651" s="3" t="s">
        <v>670</v>
      </c>
      <c r="B651" s="3" t="s">
        <v>1023</v>
      </c>
      <c r="C651" s="3" t="s">
        <v>12</v>
      </c>
      <c r="D651" s="13">
        <v>45949</v>
      </c>
      <c r="E651" s="13">
        <v>45950</v>
      </c>
      <c r="F651" s="13">
        <v>45953</v>
      </c>
      <c r="G651" s="13">
        <v>45956</v>
      </c>
      <c r="H651" s="3" t="s">
        <v>17</v>
      </c>
      <c r="I651" s="3" t="s">
        <v>18</v>
      </c>
      <c r="L651" s="18">
        <f t="shared" si="41"/>
        <v>1</v>
      </c>
      <c r="M651">
        <f t="shared" si="42"/>
        <v>3</v>
      </c>
      <c r="N651">
        <f t="shared" si="43"/>
        <v>3</v>
      </c>
      <c r="O651" t="str">
        <f t="shared" si="44"/>
        <v>Detractor</v>
      </c>
    </row>
    <row r="652" spans="1:15" ht="14.25" customHeight="1" x14ac:dyDescent="0.3">
      <c r="A652" s="3" t="s">
        <v>671</v>
      </c>
      <c r="B652" s="3" t="s">
        <v>1023</v>
      </c>
      <c r="C652" s="3" t="s">
        <v>24</v>
      </c>
      <c r="D652" s="13">
        <v>45940</v>
      </c>
      <c r="E652" s="13">
        <v>45941</v>
      </c>
      <c r="F652" s="13">
        <v>45942</v>
      </c>
      <c r="G652" s="13">
        <v>45946</v>
      </c>
      <c r="H652" s="3" t="s">
        <v>17</v>
      </c>
      <c r="I652" s="3" t="s">
        <v>94</v>
      </c>
      <c r="L652" s="18">
        <f t="shared" si="41"/>
        <v>1</v>
      </c>
      <c r="M652">
        <f t="shared" si="42"/>
        <v>1</v>
      </c>
      <c r="N652">
        <f t="shared" si="43"/>
        <v>4</v>
      </c>
      <c r="O652" t="str">
        <f t="shared" si="44"/>
        <v>Detractor</v>
      </c>
    </row>
    <row r="653" spans="1:15" ht="14.25" customHeight="1" x14ac:dyDescent="0.3">
      <c r="A653" s="3" t="s">
        <v>672</v>
      </c>
      <c r="B653" s="3" t="s">
        <v>1024</v>
      </c>
      <c r="C653" s="3" t="s">
        <v>12</v>
      </c>
      <c r="D653" s="13">
        <v>45953</v>
      </c>
      <c r="E653" s="13">
        <v>45957</v>
      </c>
      <c r="F653" s="13">
        <v>45958</v>
      </c>
      <c r="G653" s="13">
        <v>45961</v>
      </c>
      <c r="H653" s="3" t="s">
        <v>17</v>
      </c>
      <c r="I653" s="3" t="s">
        <v>94</v>
      </c>
      <c r="L653" s="18">
        <f t="shared" si="41"/>
        <v>4</v>
      </c>
      <c r="M653">
        <f t="shared" si="42"/>
        <v>1</v>
      </c>
      <c r="N653">
        <f t="shared" si="43"/>
        <v>3</v>
      </c>
      <c r="O653" t="str">
        <f t="shared" si="44"/>
        <v>Detractor</v>
      </c>
    </row>
    <row r="654" spans="1:15" ht="14.25" customHeight="1" x14ac:dyDescent="0.3">
      <c r="A654" s="3" t="s">
        <v>673</v>
      </c>
      <c r="B654" s="3" t="s">
        <v>1023</v>
      </c>
      <c r="C654" s="3" t="s">
        <v>16</v>
      </c>
      <c r="D654" s="13">
        <v>45940</v>
      </c>
      <c r="H654" s="3" t="s">
        <v>17</v>
      </c>
      <c r="I654" s="3" t="s">
        <v>20</v>
      </c>
      <c r="M654">
        <f t="shared" si="42"/>
        <v>0</v>
      </c>
      <c r="N654">
        <f t="shared" si="43"/>
        <v>0</v>
      </c>
      <c r="O654" t="str">
        <f t="shared" si="44"/>
        <v>Detractor</v>
      </c>
    </row>
    <row r="655" spans="1:15" ht="14.25" customHeight="1" x14ac:dyDescent="0.3">
      <c r="A655" s="3" t="s">
        <v>674</v>
      </c>
      <c r="B655" s="3" t="s">
        <v>1023</v>
      </c>
      <c r="C655" s="3" t="s">
        <v>24</v>
      </c>
      <c r="D655" s="13">
        <v>45931</v>
      </c>
      <c r="E655" s="13">
        <v>45934</v>
      </c>
      <c r="F655" s="13">
        <v>45935</v>
      </c>
      <c r="G655" s="13">
        <v>45940</v>
      </c>
      <c r="H655" s="3" t="s">
        <v>13</v>
      </c>
      <c r="J655" s="4">
        <v>45957</v>
      </c>
      <c r="K655" s="3">
        <v>3</v>
      </c>
      <c r="L655" s="18">
        <f t="shared" si="41"/>
        <v>3</v>
      </c>
      <c r="M655">
        <f t="shared" si="42"/>
        <v>1</v>
      </c>
      <c r="N655">
        <f t="shared" si="43"/>
        <v>5</v>
      </c>
      <c r="O655" t="str">
        <f t="shared" si="44"/>
        <v>Detractor</v>
      </c>
    </row>
    <row r="656" spans="1:15" ht="14.25" customHeight="1" x14ac:dyDescent="0.3">
      <c r="A656" s="3" t="s">
        <v>675</v>
      </c>
      <c r="B656" s="3" t="s">
        <v>1022</v>
      </c>
      <c r="C656" s="3" t="s">
        <v>16</v>
      </c>
      <c r="D656" s="13">
        <v>45957</v>
      </c>
      <c r="H656" s="3" t="s">
        <v>17</v>
      </c>
      <c r="I656" s="3" t="s">
        <v>56</v>
      </c>
      <c r="M656">
        <f t="shared" si="42"/>
        <v>0</v>
      </c>
      <c r="N656">
        <f t="shared" si="43"/>
        <v>0</v>
      </c>
      <c r="O656" t="str">
        <f t="shared" si="44"/>
        <v>Detractor</v>
      </c>
    </row>
    <row r="657" spans="1:15" ht="14.25" customHeight="1" x14ac:dyDescent="0.3">
      <c r="A657" s="3" t="s">
        <v>676</v>
      </c>
      <c r="B657" s="3" t="s">
        <v>1024</v>
      </c>
      <c r="C657" s="3" t="s">
        <v>16</v>
      </c>
      <c r="D657" s="13">
        <v>45952</v>
      </c>
      <c r="H657" s="3" t="s">
        <v>17</v>
      </c>
      <c r="I657" s="3" t="s">
        <v>94</v>
      </c>
      <c r="M657">
        <f t="shared" si="42"/>
        <v>0</v>
      </c>
      <c r="N657">
        <f t="shared" si="43"/>
        <v>0</v>
      </c>
      <c r="O657" t="str">
        <f t="shared" si="44"/>
        <v>Detractor</v>
      </c>
    </row>
    <row r="658" spans="1:15" ht="14.25" customHeight="1" x14ac:dyDescent="0.3">
      <c r="A658" s="3" t="s">
        <v>677</v>
      </c>
      <c r="B658" s="3" t="s">
        <v>1021</v>
      </c>
      <c r="C658" s="3" t="s">
        <v>24</v>
      </c>
      <c r="D658" s="13">
        <v>45943</v>
      </c>
      <c r="E658" s="13">
        <v>45948</v>
      </c>
      <c r="F658" s="13">
        <v>45952</v>
      </c>
      <c r="G658" s="13">
        <v>45959</v>
      </c>
      <c r="H658" s="3" t="s">
        <v>13</v>
      </c>
      <c r="J658" s="4">
        <v>45980</v>
      </c>
      <c r="K658" s="3">
        <v>2</v>
      </c>
      <c r="L658" s="18">
        <f t="shared" si="41"/>
        <v>5</v>
      </c>
      <c r="M658">
        <f t="shared" si="42"/>
        <v>4</v>
      </c>
      <c r="N658">
        <f t="shared" si="43"/>
        <v>7</v>
      </c>
      <c r="O658" t="str">
        <f t="shared" si="44"/>
        <v>Detractor</v>
      </c>
    </row>
    <row r="659" spans="1:15" ht="14.25" customHeight="1" x14ac:dyDescent="0.3">
      <c r="A659" s="3" t="s">
        <v>678</v>
      </c>
      <c r="B659" s="3" t="s">
        <v>1023</v>
      </c>
      <c r="C659" s="3" t="s">
        <v>12</v>
      </c>
      <c r="D659" s="13">
        <v>45939</v>
      </c>
      <c r="E659" s="13">
        <v>45941</v>
      </c>
      <c r="F659" s="13">
        <v>45945</v>
      </c>
      <c r="G659" s="13">
        <v>45949</v>
      </c>
      <c r="H659" s="3" t="s">
        <v>17</v>
      </c>
      <c r="I659" s="3" t="s">
        <v>18</v>
      </c>
      <c r="L659" s="18">
        <f t="shared" si="41"/>
        <v>2</v>
      </c>
      <c r="M659">
        <f t="shared" si="42"/>
        <v>4</v>
      </c>
      <c r="N659">
        <f t="shared" si="43"/>
        <v>4</v>
      </c>
      <c r="O659" t="str">
        <f t="shared" si="44"/>
        <v>Detractor</v>
      </c>
    </row>
    <row r="660" spans="1:15" ht="14.25" customHeight="1" x14ac:dyDescent="0.3">
      <c r="A660" s="3" t="s">
        <v>679</v>
      </c>
      <c r="B660" s="3" t="s">
        <v>1024</v>
      </c>
      <c r="C660" s="3" t="s">
        <v>12</v>
      </c>
      <c r="D660" s="13">
        <v>45931</v>
      </c>
      <c r="E660" s="13">
        <v>45932</v>
      </c>
      <c r="F660" s="13">
        <v>45936</v>
      </c>
      <c r="G660" s="13">
        <v>45940</v>
      </c>
      <c r="H660" s="3" t="s">
        <v>17</v>
      </c>
      <c r="I660" s="3" t="s">
        <v>94</v>
      </c>
      <c r="L660" s="18">
        <f t="shared" si="41"/>
        <v>1</v>
      </c>
      <c r="M660">
        <f t="shared" si="42"/>
        <v>4</v>
      </c>
      <c r="N660">
        <f t="shared" si="43"/>
        <v>4</v>
      </c>
      <c r="O660" t="str">
        <f t="shared" si="44"/>
        <v>Detractor</v>
      </c>
    </row>
    <row r="661" spans="1:15" ht="14.25" customHeight="1" x14ac:dyDescent="0.3">
      <c r="A661" s="3" t="s">
        <v>680</v>
      </c>
      <c r="B661" s="3" t="s">
        <v>1022</v>
      </c>
      <c r="C661" s="3" t="s">
        <v>12</v>
      </c>
      <c r="D661" s="13">
        <v>45949</v>
      </c>
      <c r="E661" s="13">
        <v>45951</v>
      </c>
      <c r="F661" s="13">
        <v>45956</v>
      </c>
      <c r="G661" s="13">
        <v>45958</v>
      </c>
      <c r="H661" s="3" t="s">
        <v>13</v>
      </c>
      <c r="J661" s="4">
        <v>45975</v>
      </c>
      <c r="K661" s="3">
        <v>2</v>
      </c>
      <c r="L661" s="18">
        <f t="shared" si="41"/>
        <v>2</v>
      </c>
      <c r="M661">
        <f t="shared" si="42"/>
        <v>5</v>
      </c>
      <c r="N661">
        <f t="shared" si="43"/>
        <v>2</v>
      </c>
      <c r="O661" t="str">
        <f t="shared" si="44"/>
        <v>Detractor</v>
      </c>
    </row>
    <row r="662" spans="1:15" ht="14.25" customHeight="1" x14ac:dyDescent="0.3">
      <c r="A662" s="3" t="s">
        <v>681</v>
      </c>
      <c r="B662" s="3" t="s">
        <v>1021</v>
      </c>
      <c r="C662" s="3" t="s">
        <v>12</v>
      </c>
      <c r="D662" s="13">
        <v>45958</v>
      </c>
      <c r="E662" s="13">
        <v>45963</v>
      </c>
      <c r="F662" s="13">
        <v>45967</v>
      </c>
      <c r="G662" s="13">
        <v>45973</v>
      </c>
      <c r="H662" s="3" t="s">
        <v>13</v>
      </c>
      <c r="J662" s="4">
        <v>45992</v>
      </c>
      <c r="K662" s="3">
        <v>1</v>
      </c>
      <c r="L662" s="18">
        <f t="shared" si="41"/>
        <v>5</v>
      </c>
      <c r="M662">
        <f t="shared" si="42"/>
        <v>4</v>
      </c>
      <c r="N662">
        <f t="shared" si="43"/>
        <v>6</v>
      </c>
      <c r="O662" t="str">
        <f t="shared" si="44"/>
        <v>Detractor</v>
      </c>
    </row>
    <row r="663" spans="1:15" ht="14.25" customHeight="1" x14ac:dyDescent="0.3">
      <c r="A663" s="3" t="s">
        <v>682</v>
      </c>
      <c r="B663" s="3" t="s">
        <v>1024</v>
      </c>
      <c r="C663" s="3" t="s">
        <v>12</v>
      </c>
      <c r="D663" s="13">
        <v>45952</v>
      </c>
      <c r="E663" s="13">
        <v>45956</v>
      </c>
      <c r="F663" s="13">
        <v>45957</v>
      </c>
      <c r="G663" s="13">
        <v>45961</v>
      </c>
      <c r="H663" s="3" t="s">
        <v>13</v>
      </c>
      <c r="J663" s="4">
        <v>45984</v>
      </c>
      <c r="K663" s="3">
        <v>9</v>
      </c>
      <c r="L663" s="18">
        <f t="shared" si="41"/>
        <v>4</v>
      </c>
      <c r="M663">
        <f t="shared" si="42"/>
        <v>1</v>
      </c>
      <c r="N663">
        <f t="shared" si="43"/>
        <v>4</v>
      </c>
      <c r="O663" t="str">
        <f t="shared" si="44"/>
        <v>Promoter</v>
      </c>
    </row>
    <row r="664" spans="1:15" ht="14.25" customHeight="1" x14ac:dyDescent="0.3">
      <c r="A664" s="3" t="s">
        <v>683</v>
      </c>
      <c r="B664" s="3" t="s">
        <v>1021</v>
      </c>
      <c r="C664" s="3" t="s">
        <v>12</v>
      </c>
      <c r="D664" s="13">
        <v>45955</v>
      </c>
      <c r="E664" s="13">
        <v>45956</v>
      </c>
      <c r="F664" s="13">
        <v>45957</v>
      </c>
      <c r="G664" s="13">
        <v>45959</v>
      </c>
      <c r="H664" s="3" t="s">
        <v>13</v>
      </c>
      <c r="J664" s="4">
        <v>45979</v>
      </c>
      <c r="K664" s="3">
        <v>5</v>
      </c>
      <c r="L664" s="18">
        <f t="shared" si="41"/>
        <v>1</v>
      </c>
      <c r="M664">
        <f t="shared" si="42"/>
        <v>1</v>
      </c>
      <c r="N664">
        <f t="shared" si="43"/>
        <v>2</v>
      </c>
      <c r="O664" t="str">
        <f t="shared" si="44"/>
        <v>Detractor</v>
      </c>
    </row>
    <row r="665" spans="1:15" ht="14.25" customHeight="1" x14ac:dyDescent="0.3">
      <c r="A665" s="3" t="s">
        <v>684</v>
      </c>
      <c r="B665" s="3" t="s">
        <v>1021</v>
      </c>
      <c r="C665" s="3" t="s">
        <v>12</v>
      </c>
      <c r="D665" s="13">
        <v>45954</v>
      </c>
      <c r="E665" s="13">
        <v>45956</v>
      </c>
      <c r="F665" s="13">
        <v>45958</v>
      </c>
      <c r="G665" s="13">
        <v>45964</v>
      </c>
      <c r="H665" s="3" t="s">
        <v>13</v>
      </c>
      <c r="J665" s="4">
        <v>45985</v>
      </c>
      <c r="K665" s="3">
        <v>4</v>
      </c>
      <c r="L665" s="18">
        <f t="shared" si="41"/>
        <v>2</v>
      </c>
      <c r="M665">
        <f t="shared" si="42"/>
        <v>2</v>
      </c>
      <c r="N665">
        <f t="shared" si="43"/>
        <v>6</v>
      </c>
      <c r="O665" t="str">
        <f t="shared" si="44"/>
        <v>Detractor</v>
      </c>
    </row>
    <row r="666" spans="1:15" ht="14.25" customHeight="1" x14ac:dyDescent="0.3">
      <c r="A666" s="3" t="s">
        <v>685</v>
      </c>
      <c r="B666" s="3" t="s">
        <v>1021</v>
      </c>
      <c r="C666" s="3" t="s">
        <v>12</v>
      </c>
      <c r="D666" s="13">
        <v>45932</v>
      </c>
      <c r="E666" s="13">
        <v>45933</v>
      </c>
      <c r="F666" s="13">
        <v>45934</v>
      </c>
      <c r="G666" s="13">
        <v>45941</v>
      </c>
      <c r="H666" s="3" t="s">
        <v>13</v>
      </c>
      <c r="J666" s="4">
        <v>45959</v>
      </c>
      <c r="K666" s="3">
        <v>9</v>
      </c>
      <c r="L666" s="18">
        <f t="shared" si="41"/>
        <v>1</v>
      </c>
      <c r="M666">
        <f t="shared" si="42"/>
        <v>1</v>
      </c>
      <c r="N666">
        <f t="shared" si="43"/>
        <v>7</v>
      </c>
      <c r="O666" t="str">
        <f t="shared" si="44"/>
        <v>Promoter</v>
      </c>
    </row>
    <row r="667" spans="1:15" ht="14.25" customHeight="1" x14ac:dyDescent="0.3">
      <c r="A667" s="3" t="s">
        <v>686</v>
      </c>
      <c r="B667" s="3" t="s">
        <v>1023</v>
      </c>
      <c r="C667" s="3" t="s">
        <v>12</v>
      </c>
      <c r="D667" s="13">
        <v>45960</v>
      </c>
      <c r="E667" s="13">
        <v>45962</v>
      </c>
      <c r="F667" s="13">
        <v>45966</v>
      </c>
      <c r="G667" s="13">
        <v>45968</v>
      </c>
      <c r="H667" s="3" t="s">
        <v>13</v>
      </c>
      <c r="J667" s="4">
        <v>45996</v>
      </c>
      <c r="K667" s="3">
        <v>2</v>
      </c>
      <c r="L667" s="18">
        <f t="shared" si="41"/>
        <v>2</v>
      </c>
      <c r="M667">
        <f t="shared" si="42"/>
        <v>4</v>
      </c>
      <c r="N667">
        <f t="shared" si="43"/>
        <v>2</v>
      </c>
      <c r="O667" t="str">
        <f t="shared" si="44"/>
        <v>Detractor</v>
      </c>
    </row>
    <row r="668" spans="1:15" ht="14.25" customHeight="1" x14ac:dyDescent="0.3">
      <c r="A668" s="3" t="s">
        <v>687</v>
      </c>
      <c r="B668" s="3" t="s">
        <v>1023</v>
      </c>
      <c r="C668" s="3" t="s">
        <v>12</v>
      </c>
      <c r="D668" s="13">
        <v>45950</v>
      </c>
      <c r="E668" s="13">
        <v>45953</v>
      </c>
      <c r="F668" s="13">
        <v>45957</v>
      </c>
      <c r="G668" s="13">
        <v>45960</v>
      </c>
      <c r="H668" s="3" t="s">
        <v>13</v>
      </c>
      <c r="J668" s="4">
        <v>45979</v>
      </c>
      <c r="K668" s="3">
        <v>7</v>
      </c>
      <c r="L668" s="18">
        <f t="shared" si="41"/>
        <v>3</v>
      </c>
      <c r="M668">
        <f t="shared" si="42"/>
        <v>4</v>
      </c>
      <c r="N668">
        <f t="shared" si="43"/>
        <v>3</v>
      </c>
      <c r="O668" t="str">
        <f t="shared" si="44"/>
        <v>Passive</v>
      </c>
    </row>
    <row r="669" spans="1:15" ht="14.25" customHeight="1" x14ac:dyDescent="0.3">
      <c r="A669" s="3" t="s">
        <v>688</v>
      </c>
      <c r="B669" s="3" t="s">
        <v>1022</v>
      </c>
      <c r="C669" s="3" t="s">
        <v>12</v>
      </c>
      <c r="D669" s="13">
        <v>45954</v>
      </c>
      <c r="E669" s="13">
        <v>45957</v>
      </c>
      <c r="F669" s="13">
        <v>45960</v>
      </c>
      <c r="G669" s="13">
        <v>45963</v>
      </c>
      <c r="H669" s="3" t="s">
        <v>13</v>
      </c>
      <c r="J669" s="4">
        <v>45987</v>
      </c>
      <c r="K669" s="3">
        <v>0</v>
      </c>
      <c r="L669" s="18">
        <f t="shared" si="41"/>
        <v>3</v>
      </c>
      <c r="M669">
        <f t="shared" si="42"/>
        <v>3</v>
      </c>
      <c r="N669">
        <f t="shared" si="43"/>
        <v>3</v>
      </c>
      <c r="O669" t="str">
        <f t="shared" si="44"/>
        <v>Detractor</v>
      </c>
    </row>
    <row r="670" spans="1:15" ht="14.25" customHeight="1" x14ac:dyDescent="0.3">
      <c r="A670" s="3" t="s">
        <v>689</v>
      </c>
      <c r="B670" s="3" t="s">
        <v>1022</v>
      </c>
      <c r="C670" s="3" t="s">
        <v>24</v>
      </c>
      <c r="D670" s="13">
        <v>45946</v>
      </c>
      <c r="E670" s="13">
        <v>45950</v>
      </c>
      <c r="F670" s="13">
        <v>45955</v>
      </c>
      <c r="G670" s="13">
        <v>45961</v>
      </c>
      <c r="H670" s="3" t="s">
        <v>13</v>
      </c>
      <c r="J670" s="4">
        <v>45974</v>
      </c>
      <c r="K670" s="3">
        <v>2</v>
      </c>
      <c r="L670" s="18">
        <f t="shared" si="41"/>
        <v>4</v>
      </c>
      <c r="M670">
        <f t="shared" si="42"/>
        <v>5</v>
      </c>
      <c r="N670">
        <f t="shared" si="43"/>
        <v>6</v>
      </c>
      <c r="O670" t="str">
        <f t="shared" si="44"/>
        <v>Detractor</v>
      </c>
    </row>
    <row r="671" spans="1:15" ht="14.25" customHeight="1" x14ac:dyDescent="0.3">
      <c r="A671" s="3" t="s">
        <v>690</v>
      </c>
      <c r="B671" s="3" t="s">
        <v>1024</v>
      </c>
      <c r="C671" s="3" t="s">
        <v>24</v>
      </c>
      <c r="D671" s="13">
        <v>45957</v>
      </c>
      <c r="E671" s="13">
        <v>45962</v>
      </c>
      <c r="F671" s="13">
        <v>45963</v>
      </c>
      <c r="G671" s="13">
        <v>45965</v>
      </c>
      <c r="H671" s="3" t="s">
        <v>17</v>
      </c>
      <c r="I671" s="3" t="s">
        <v>18</v>
      </c>
      <c r="L671" s="18">
        <f t="shared" si="41"/>
        <v>5</v>
      </c>
      <c r="M671">
        <f t="shared" si="42"/>
        <v>1</v>
      </c>
      <c r="N671">
        <f t="shared" si="43"/>
        <v>2</v>
      </c>
      <c r="O671" t="str">
        <f t="shared" si="44"/>
        <v>Detractor</v>
      </c>
    </row>
    <row r="672" spans="1:15" ht="14.25" customHeight="1" x14ac:dyDescent="0.3">
      <c r="A672" s="3" t="s">
        <v>691</v>
      </c>
      <c r="B672" s="3" t="s">
        <v>1022</v>
      </c>
      <c r="C672" s="3" t="s">
        <v>16</v>
      </c>
      <c r="D672" s="13">
        <v>45959</v>
      </c>
      <c r="H672" s="3" t="s">
        <v>17</v>
      </c>
      <c r="I672" s="3" t="s">
        <v>26</v>
      </c>
      <c r="M672">
        <f t="shared" si="42"/>
        <v>0</v>
      </c>
      <c r="N672">
        <f t="shared" si="43"/>
        <v>0</v>
      </c>
      <c r="O672" t="str">
        <f t="shared" si="44"/>
        <v>Detractor</v>
      </c>
    </row>
    <row r="673" spans="1:15" ht="14.25" customHeight="1" x14ac:dyDescent="0.3">
      <c r="A673" s="3" t="s">
        <v>692</v>
      </c>
      <c r="B673" s="3" t="s">
        <v>1021</v>
      </c>
      <c r="C673" s="3" t="s">
        <v>12</v>
      </c>
      <c r="D673" s="13">
        <v>45959</v>
      </c>
      <c r="E673" s="13">
        <v>45960</v>
      </c>
      <c r="F673" s="13">
        <v>45965</v>
      </c>
      <c r="G673" s="13">
        <v>45970</v>
      </c>
      <c r="H673" s="3" t="s">
        <v>13</v>
      </c>
      <c r="J673" s="4">
        <v>45995</v>
      </c>
      <c r="K673" s="3">
        <v>0</v>
      </c>
      <c r="L673" s="18">
        <f t="shared" si="41"/>
        <v>1</v>
      </c>
      <c r="M673">
        <f t="shared" si="42"/>
        <v>5</v>
      </c>
      <c r="N673">
        <f t="shared" si="43"/>
        <v>5</v>
      </c>
      <c r="O673" t="str">
        <f t="shared" si="44"/>
        <v>Detractor</v>
      </c>
    </row>
    <row r="674" spans="1:15" ht="14.25" customHeight="1" x14ac:dyDescent="0.3">
      <c r="A674" s="3" t="s">
        <v>693</v>
      </c>
      <c r="B674" s="3" t="s">
        <v>1021</v>
      </c>
      <c r="C674" s="3" t="s">
        <v>24</v>
      </c>
      <c r="D674" s="13">
        <v>45940</v>
      </c>
      <c r="E674" s="13">
        <v>45945</v>
      </c>
      <c r="F674" s="13">
        <v>45946</v>
      </c>
      <c r="G674" s="13">
        <v>45948</v>
      </c>
      <c r="H674" s="3" t="s">
        <v>13</v>
      </c>
      <c r="J674" s="4">
        <v>45959</v>
      </c>
      <c r="K674" s="3">
        <v>6</v>
      </c>
      <c r="L674" s="18">
        <f t="shared" si="41"/>
        <v>5</v>
      </c>
      <c r="M674">
        <f t="shared" si="42"/>
        <v>1</v>
      </c>
      <c r="N674">
        <f t="shared" si="43"/>
        <v>2</v>
      </c>
      <c r="O674" t="str">
        <f t="shared" si="44"/>
        <v>Detractor</v>
      </c>
    </row>
    <row r="675" spans="1:15" ht="14.25" customHeight="1" x14ac:dyDescent="0.3">
      <c r="A675" s="3" t="s">
        <v>694</v>
      </c>
      <c r="B675" s="3" t="s">
        <v>1023</v>
      </c>
      <c r="C675" s="3" t="s">
        <v>24</v>
      </c>
      <c r="D675" s="13">
        <v>45955</v>
      </c>
      <c r="E675" s="13">
        <v>45957</v>
      </c>
      <c r="F675" s="13">
        <v>45959</v>
      </c>
      <c r="G675" s="13">
        <v>45964</v>
      </c>
      <c r="H675" s="3" t="s">
        <v>13</v>
      </c>
      <c r="J675" s="4">
        <v>45994</v>
      </c>
      <c r="K675" s="3">
        <v>10</v>
      </c>
      <c r="L675" s="18">
        <f t="shared" si="41"/>
        <v>2</v>
      </c>
      <c r="M675">
        <f t="shared" si="42"/>
        <v>2</v>
      </c>
      <c r="N675">
        <f t="shared" si="43"/>
        <v>5</v>
      </c>
      <c r="O675" t="str">
        <f t="shared" si="44"/>
        <v>Promoter</v>
      </c>
    </row>
    <row r="676" spans="1:15" ht="14.25" customHeight="1" x14ac:dyDescent="0.3">
      <c r="A676" s="3" t="s">
        <v>695</v>
      </c>
      <c r="B676" s="3" t="s">
        <v>1021</v>
      </c>
      <c r="C676" s="3" t="s">
        <v>24</v>
      </c>
      <c r="D676" s="13">
        <v>45956</v>
      </c>
      <c r="E676" s="13">
        <v>45960</v>
      </c>
      <c r="F676" s="13">
        <v>45962</v>
      </c>
      <c r="G676" s="13">
        <v>45966</v>
      </c>
      <c r="H676" s="3" t="s">
        <v>13</v>
      </c>
      <c r="J676" s="4">
        <v>45994</v>
      </c>
      <c r="K676" s="3">
        <v>8</v>
      </c>
      <c r="L676" s="18">
        <f t="shared" si="41"/>
        <v>4</v>
      </c>
      <c r="M676">
        <f t="shared" si="42"/>
        <v>2</v>
      </c>
      <c r="N676">
        <f t="shared" si="43"/>
        <v>4</v>
      </c>
      <c r="O676" t="str">
        <f t="shared" si="44"/>
        <v>Passive</v>
      </c>
    </row>
    <row r="677" spans="1:15" ht="14.25" customHeight="1" x14ac:dyDescent="0.3">
      <c r="A677" s="3" t="s">
        <v>696</v>
      </c>
      <c r="B677" s="3" t="s">
        <v>1024</v>
      </c>
      <c r="C677" s="3" t="s">
        <v>16</v>
      </c>
      <c r="D677" s="13">
        <v>45938</v>
      </c>
      <c r="H677" s="3" t="s">
        <v>17</v>
      </c>
      <c r="I677" s="3" t="s">
        <v>26</v>
      </c>
      <c r="M677">
        <f t="shared" si="42"/>
        <v>0</v>
      </c>
      <c r="N677">
        <f t="shared" si="43"/>
        <v>0</v>
      </c>
      <c r="O677" t="str">
        <f t="shared" si="44"/>
        <v>Detractor</v>
      </c>
    </row>
    <row r="678" spans="1:15" ht="14.25" customHeight="1" x14ac:dyDescent="0.3">
      <c r="A678" s="3" t="s">
        <v>697</v>
      </c>
      <c r="B678" s="3" t="s">
        <v>1021</v>
      </c>
      <c r="C678" s="3" t="s">
        <v>12</v>
      </c>
      <c r="D678" s="13">
        <v>45950</v>
      </c>
      <c r="E678" s="13">
        <v>45953</v>
      </c>
      <c r="F678" s="13">
        <v>45958</v>
      </c>
      <c r="G678" s="13">
        <v>45962</v>
      </c>
      <c r="H678" s="3" t="s">
        <v>13</v>
      </c>
      <c r="J678" s="4">
        <v>45990</v>
      </c>
      <c r="K678" s="3">
        <v>10</v>
      </c>
      <c r="L678" s="18">
        <f t="shared" si="41"/>
        <v>3</v>
      </c>
      <c r="M678">
        <f t="shared" si="42"/>
        <v>5</v>
      </c>
      <c r="N678">
        <f t="shared" si="43"/>
        <v>4</v>
      </c>
      <c r="O678" t="str">
        <f t="shared" si="44"/>
        <v>Promoter</v>
      </c>
    </row>
    <row r="679" spans="1:15" ht="14.25" customHeight="1" x14ac:dyDescent="0.3">
      <c r="A679" s="3" t="s">
        <v>698</v>
      </c>
      <c r="B679" s="3" t="s">
        <v>1021</v>
      </c>
      <c r="C679" s="3" t="s">
        <v>16</v>
      </c>
      <c r="D679" s="13">
        <v>45956</v>
      </c>
      <c r="H679" s="3" t="s">
        <v>17</v>
      </c>
      <c r="I679" s="3" t="s">
        <v>18</v>
      </c>
      <c r="M679">
        <f t="shared" si="42"/>
        <v>0</v>
      </c>
      <c r="N679">
        <f t="shared" si="43"/>
        <v>0</v>
      </c>
      <c r="O679" t="str">
        <f t="shared" si="44"/>
        <v>Detractor</v>
      </c>
    </row>
    <row r="680" spans="1:15" ht="14.25" customHeight="1" x14ac:dyDescent="0.3">
      <c r="A680" s="3" t="s">
        <v>699</v>
      </c>
      <c r="B680" s="3" t="s">
        <v>1024</v>
      </c>
      <c r="C680" s="3" t="s">
        <v>12</v>
      </c>
      <c r="D680" s="13">
        <v>45942</v>
      </c>
      <c r="E680" s="13">
        <v>45945</v>
      </c>
      <c r="F680" s="13">
        <v>45949</v>
      </c>
      <c r="G680" s="13">
        <v>45953</v>
      </c>
      <c r="H680" s="3" t="s">
        <v>17</v>
      </c>
      <c r="I680" s="3" t="s">
        <v>56</v>
      </c>
      <c r="L680" s="18">
        <f t="shared" si="41"/>
        <v>3</v>
      </c>
      <c r="M680">
        <f t="shared" si="42"/>
        <v>4</v>
      </c>
      <c r="N680">
        <f t="shared" si="43"/>
        <v>4</v>
      </c>
      <c r="O680" t="str">
        <f t="shared" si="44"/>
        <v>Detractor</v>
      </c>
    </row>
    <row r="681" spans="1:15" ht="14.25" customHeight="1" x14ac:dyDescent="0.3">
      <c r="A681" s="3" t="s">
        <v>700</v>
      </c>
      <c r="B681" s="3" t="s">
        <v>1022</v>
      </c>
      <c r="C681" s="3" t="s">
        <v>12</v>
      </c>
      <c r="D681" s="13">
        <v>45938</v>
      </c>
      <c r="E681" s="13">
        <v>45942</v>
      </c>
      <c r="F681" s="13">
        <v>45945</v>
      </c>
      <c r="G681" s="13">
        <v>45947</v>
      </c>
      <c r="H681" s="3" t="s">
        <v>13</v>
      </c>
      <c r="J681" s="4">
        <v>45976</v>
      </c>
      <c r="K681" s="3">
        <v>10</v>
      </c>
      <c r="L681" s="18">
        <f t="shared" si="41"/>
        <v>4</v>
      </c>
      <c r="M681">
        <f t="shared" si="42"/>
        <v>3</v>
      </c>
      <c r="N681">
        <f t="shared" si="43"/>
        <v>2</v>
      </c>
      <c r="O681" t="str">
        <f t="shared" si="44"/>
        <v>Promoter</v>
      </c>
    </row>
    <row r="682" spans="1:15" ht="14.25" customHeight="1" x14ac:dyDescent="0.3">
      <c r="A682" s="3" t="s">
        <v>701</v>
      </c>
      <c r="B682" s="3" t="s">
        <v>1022</v>
      </c>
      <c r="C682" s="3" t="s">
        <v>12</v>
      </c>
      <c r="D682" s="13">
        <v>45951</v>
      </c>
      <c r="E682" s="13">
        <v>45952</v>
      </c>
      <c r="F682" s="13">
        <v>45953</v>
      </c>
      <c r="G682" s="13">
        <v>45959</v>
      </c>
      <c r="H682" s="3" t="s">
        <v>13</v>
      </c>
      <c r="J682" s="4">
        <v>45971</v>
      </c>
      <c r="K682" s="3">
        <v>2</v>
      </c>
      <c r="L682" s="18">
        <f t="shared" si="41"/>
        <v>1</v>
      </c>
      <c r="M682">
        <f t="shared" si="42"/>
        <v>1</v>
      </c>
      <c r="N682">
        <f t="shared" si="43"/>
        <v>6</v>
      </c>
      <c r="O682" t="str">
        <f t="shared" si="44"/>
        <v>Detractor</v>
      </c>
    </row>
    <row r="683" spans="1:15" ht="14.25" customHeight="1" x14ac:dyDescent="0.3">
      <c r="A683" s="3" t="s">
        <v>702</v>
      </c>
      <c r="B683" s="3" t="s">
        <v>1024</v>
      </c>
      <c r="C683" s="3" t="s">
        <v>12</v>
      </c>
      <c r="D683" s="13">
        <v>45937</v>
      </c>
      <c r="E683" s="13">
        <v>45942</v>
      </c>
      <c r="F683" s="13">
        <v>45943</v>
      </c>
      <c r="G683" s="13">
        <v>45948</v>
      </c>
      <c r="H683" s="3" t="s">
        <v>13</v>
      </c>
      <c r="J683" s="4">
        <v>45973</v>
      </c>
      <c r="K683" s="3">
        <v>9</v>
      </c>
      <c r="L683" s="18">
        <f t="shared" si="41"/>
        <v>5</v>
      </c>
      <c r="M683">
        <f t="shared" si="42"/>
        <v>1</v>
      </c>
      <c r="N683">
        <f t="shared" si="43"/>
        <v>5</v>
      </c>
      <c r="O683" t="str">
        <f t="shared" si="44"/>
        <v>Promoter</v>
      </c>
    </row>
    <row r="684" spans="1:15" ht="14.25" customHeight="1" x14ac:dyDescent="0.3">
      <c r="A684" s="3" t="s">
        <v>703</v>
      </c>
      <c r="B684" s="3" t="s">
        <v>1023</v>
      </c>
      <c r="C684" s="3" t="s">
        <v>24</v>
      </c>
      <c r="D684" s="13">
        <v>45950</v>
      </c>
      <c r="E684" s="13">
        <v>45952</v>
      </c>
      <c r="F684" s="13">
        <v>45955</v>
      </c>
      <c r="G684" s="13">
        <v>45957</v>
      </c>
      <c r="H684" s="3" t="s">
        <v>13</v>
      </c>
      <c r="J684" s="4">
        <v>45973</v>
      </c>
      <c r="K684" s="3">
        <v>8</v>
      </c>
      <c r="L684" s="18">
        <f t="shared" si="41"/>
        <v>2</v>
      </c>
      <c r="M684">
        <f t="shared" si="42"/>
        <v>3</v>
      </c>
      <c r="N684">
        <f t="shared" si="43"/>
        <v>2</v>
      </c>
      <c r="O684" t="str">
        <f t="shared" si="44"/>
        <v>Passive</v>
      </c>
    </row>
    <row r="685" spans="1:15" ht="14.25" customHeight="1" x14ac:dyDescent="0.3">
      <c r="A685" s="3" t="s">
        <v>704</v>
      </c>
      <c r="B685" s="3" t="s">
        <v>1021</v>
      </c>
      <c r="C685" s="3" t="s">
        <v>16</v>
      </c>
      <c r="D685" s="13">
        <v>45939</v>
      </c>
      <c r="H685" s="3" t="s">
        <v>17</v>
      </c>
      <c r="I685" s="3" t="s">
        <v>94</v>
      </c>
      <c r="M685">
        <f t="shared" si="42"/>
        <v>0</v>
      </c>
      <c r="N685">
        <f t="shared" si="43"/>
        <v>0</v>
      </c>
      <c r="O685" t="str">
        <f t="shared" si="44"/>
        <v>Detractor</v>
      </c>
    </row>
    <row r="686" spans="1:15" ht="14.25" customHeight="1" x14ac:dyDescent="0.3">
      <c r="A686" s="3" t="s">
        <v>705</v>
      </c>
      <c r="B686" s="3" t="s">
        <v>1024</v>
      </c>
      <c r="C686" s="3" t="s">
        <v>16</v>
      </c>
      <c r="D686" s="13">
        <v>45952</v>
      </c>
      <c r="H686" s="3" t="s">
        <v>17</v>
      </c>
      <c r="I686" s="3" t="s">
        <v>94</v>
      </c>
      <c r="M686">
        <f t="shared" si="42"/>
        <v>0</v>
      </c>
      <c r="N686">
        <f t="shared" si="43"/>
        <v>0</v>
      </c>
      <c r="O686" t="str">
        <f t="shared" si="44"/>
        <v>Detractor</v>
      </c>
    </row>
    <row r="687" spans="1:15" ht="14.25" customHeight="1" x14ac:dyDescent="0.3">
      <c r="A687" s="3" t="s">
        <v>706</v>
      </c>
      <c r="B687" s="3" t="s">
        <v>1021</v>
      </c>
      <c r="C687" s="3" t="s">
        <v>12</v>
      </c>
      <c r="D687" s="13">
        <v>45955</v>
      </c>
      <c r="E687" s="13">
        <v>45960</v>
      </c>
      <c r="F687" s="13">
        <v>45965</v>
      </c>
      <c r="G687" s="13">
        <v>45969</v>
      </c>
      <c r="H687" s="3" t="s">
        <v>13</v>
      </c>
      <c r="J687" s="4">
        <v>45995</v>
      </c>
      <c r="K687" s="3">
        <v>5</v>
      </c>
      <c r="L687" s="18">
        <f t="shared" si="41"/>
        <v>5</v>
      </c>
      <c r="M687">
        <f t="shared" si="42"/>
        <v>5</v>
      </c>
      <c r="N687">
        <f t="shared" si="43"/>
        <v>4</v>
      </c>
      <c r="O687" t="str">
        <f t="shared" si="44"/>
        <v>Detractor</v>
      </c>
    </row>
    <row r="688" spans="1:15" ht="14.25" customHeight="1" x14ac:dyDescent="0.3">
      <c r="A688" s="3" t="s">
        <v>707</v>
      </c>
      <c r="B688" s="3" t="s">
        <v>1023</v>
      </c>
      <c r="C688" s="3" t="s">
        <v>16</v>
      </c>
      <c r="D688" s="13">
        <v>45954</v>
      </c>
      <c r="H688" s="3" t="s">
        <v>17</v>
      </c>
      <c r="I688" s="3" t="s">
        <v>26</v>
      </c>
      <c r="M688">
        <f t="shared" si="42"/>
        <v>0</v>
      </c>
      <c r="N688">
        <f t="shared" si="43"/>
        <v>0</v>
      </c>
      <c r="O688" t="str">
        <f t="shared" si="44"/>
        <v>Detractor</v>
      </c>
    </row>
    <row r="689" spans="1:15" ht="14.25" customHeight="1" x14ac:dyDescent="0.3">
      <c r="A689" s="3" t="s">
        <v>708</v>
      </c>
      <c r="B689" s="3" t="s">
        <v>1021</v>
      </c>
      <c r="C689" s="3" t="s">
        <v>16</v>
      </c>
      <c r="D689" s="13">
        <v>45955</v>
      </c>
      <c r="H689" s="3" t="s">
        <v>17</v>
      </c>
      <c r="I689" s="3" t="s">
        <v>18</v>
      </c>
      <c r="M689">
        <f t="shared" si="42"/>
        <v>0</v>
      </c>
      <c r="N689">
        <f t="shared" si="43"/>
        <v>0</v>
      </c>
      <c r="O689" t="str">
        <f t="shared" si="44"/>
        <v>Detractor</v>
      </c>
    </row>
    <row r="690" spans="1:15" ht="14.25" customHeight="1" x14ac:dyDescent="0.3">
      <c r="A690" s="3" t="s">
        <v>709</v>
      </c>
      <c r="B690" s="3" t="s">
        <v>1024</v>
      </c>
      <c r="C690" s="3" t="s">
        <v>12</v>
      </c>
      <c r="D690" s="13">
        <v>45952</v>
      </c>
      <c r="E690" s="13">
        <v>45955</v>
      </c>
      <c r="F690" s="13">
        <v>45960</v>
      </c>
      <c r="G690" s="13">
        <v>45963</v>
      </c>
      <c r="H690" s="3" t="s">
        <v>13</v>
      </c>
      <c r="J690" s="4">
        <v>45976</v>
      </c>
      <c r="K690" s="3">
        <v>5</v>
      </c>
      <c r="L690" s="18">
        <f t="shared" si="41"/>
        <v>3</v>
      </c>
      <c r="M690">
        <f t="shared" si="42"/>
        <v>5</v>
      </c>
      <c r="N690">
        <f t="shared" si="43"/>
        <v>3</v>
      </c>
      <c r="O690" t="str">
        <f t="shared" si="44"/>
        <v>Detractor</v>
      </c>
    </row>
    <row r="691" spans="1:15" ht="14.25" customHeight="1" x14ac:dyDescent="0.3">
      <c r="A691" s="3" t="s">
        <v>710</v>
      </c>
      <c r="B691" s="3" t="s">
        <v>1021</v>
      </c>
      <c r="C691" s="3" t="s">
        <v>24</v>
      </c>
      <c r="D691" s="13">
        <v>45952</v>
      </c>
      <c r="E691" s="13">
        <v>45956</v>
      </c>
      <c r="F691" s="13">
        <v>45957</v>
      </c>
      <c r="G691" s="13">
        <v>45961</v>
      </c>
      <c r="H691" s="3" t="s">
        <v>13</v>
      </c>
      <c r="J691" s="4">
        <v>45983</v>
      </c>
      <c r="K691" s="3">
        <v>2</v>
      </c>
      <c r="L691" s="18">
        <f t="shared" si="41"/>
        <v>4</v>
      </c>
      <c r="M691">
        <f t="shared" si="42"/>
        <v>1</v>
      </c>
      <c r="N691">
        <f t="shared" si="43"/>
        <v>4</v>
      </c>
      <c r="O691" t="str">
        <f t="shared" si="44"/>
        <v>Detractor</v>
      </c>
    </row>
    <row r="692" spans="1:15" ht="14.25" customHeight="1" x14ac:dyDescent="0.3">
      <c r="A692" s="3" t="s">
        <v>711</v>
      </c>
      <c r="B692" s="3" t="s">
        <v>1022</v>
      </c>
      <c r="C692" s="3" t="s">
        <v>12</v>
      </c>
      <c r="D692" s="13">
        <v>45957</v>
      </c>
      <c r="E692" s="13">
        <v>45960</v>
      </c>
      <c r="F692" s="13">
        <v>45962</v>
      </c>
      <c r="G692" s="13">
        <v>45968</v>
      </c>
      <c r="H692" s="3" t="s">
        <v>13</v>
      </c>
      <c r="J692" s="4">
        <v>45994</v>
      </c>
      <c r="K692" s="3">
        <v>7</v>
      </c>
      <c r="L692" s="18">
        <f t="shared" si="41"/>
        <v>3</v>
      </c>
      <c r="M692">
        <f t="shared" si="42"/>
        <v>2</v>
      </c>
      <c r="N692">
        <f t="shared" si="43"/>
        <v>6</v>
      </c>
      <c r="O692" t="str">
        <f t="shared" si="44"/>
        <v>Passive</v>
      </c>
    </row>
    <row r="693" spans="1:15" ht="14.25" customHeight="1" x14ac:dyDescent="0.3">
      <c r="A693" s="3" t="s">
        <v>712</v>
      </c>
      <c r="B693" s="3" t="s">
        <v>1023</v>
      </c>
      <c r="C693" s="3" t="s">
        <v>12</v>
      </c>
      <c r="D693" s="13">
        <v>45935</v>
      </c>
      <c r="E693" s="13">
        <v>45938</v>
      </c>
      <c r="F693" s="13">
        <v>45941</v>
      </c>
      <c r="G693" s="13">
        <v>45945</v>
      </c>
      <c r="H693" s="3" t="s">
        <v>13</v>
      </c>
      <c r="J693" s="4">
        <v>45964</v>
      </c>
      <c r="K693" s="3">
        <v>3</v>
      </c>
      <c r="L693" s="18">
        <f t="shared" si="41"/>
        <v>3</v>
      </c>
      <c r="M693">
        <f t="shared" si="42"/>
        <v>3</v>
      </c>
      <c r="N693">
        <f t="shared" si="43"/>
        <v>4</v>
      </c>
      <c r="O693" t="str">
        <f t="shared" si="44"/>
        <v>Detractor</v>
      </c>
    </row>
    <row r="694" spans="1:15" ht="14.25" customHeight="1" x14ac:dyDescent="0.3">
      <c r="A694" s="3" t="s">
        <v>713</v>
      </c>
      <c r="B694" s="3" t="s">
        <v>1023</v>
      </c>
      <c r="C694" s="3" t="s">
        <v>24</v>
      </c>
      <c r="D694" s="13">
        <v>45951</v>
      </c>
      <c r="E694" s="13">
        <v>45953</v>
      </c>
      <c r="F694" s="13">
        <v>45954</v>
      </c>
      <c r="G694" s="13">
        <v>45961</v>
      </c>
      <c r="H694" s="3" t="s">
        <v>13</v>
      </c>
      <c r="J694" s="4">
        <v>45984</v>
      </c>
      <c r="K694" s="3">
        <v>8</v>
      </c>
      <c r="L694" s="18">
        <f t="shared" si="41"/>
        <v>2</v>
      </c>
      <c r="M694">
        <f t="shared" si="42"/>
        <v>1</v>
      </c>
      <c r="N694">
        <f t="shared" si="43"/>
        <v>7</v>
      </c>
      <c r="O694" t="str">
        <f t="shared" si="44"/>
        <v>Passive</v>
      </c>
    </row>
    <row r="695" spans="1:15" ht="14.25" customHeight="1" x14ac:dyDescent="0.3">
      <c r="A695" s="3" t="s">
        <v>714</v>
      </c>
      <c r="B695" s="3" t="s">
        <v>1023</v>
      </c>
      <c r="C695" s="3" t="s">
        <v>24</v>
      </c>
      <c r="D695" s="13">
        <v>45934</v>
      </c>
      <c r="E695" s="13">
        <v>45935</v>
      </c>
      <c r="F695" s="13">
        <v>45937</v>
      </c>
      <c r="G695" s="13">
        <v>45943</v>
      </c>
      <c r="H695" s="3" t="s">
        <v>13</v>
      </c>
      <c r="J695" s="4">
        <v>45954</v>
      </c>
      <c r="K695" s="3">
        <v>7</v>
      </c>
      <c r="L695" s="18">
        <f t="shared" si="41"/>
        <v>1</v>
      </c>
      <c r="M695">
        <f t="shared" si="42"/>
        <v>2</v>
      </c>
      <c r="N695">
        <f t="shared" si="43"/>
        <v>6</v>
      </c>
      <c r="O695" t="str">
        <f t="shared" si="44"/>
        <v>Passive</v>
      </c>
    </row>
    <row r="696" spans="1:15" ht="14.25" customHeight="1" x14ac:dyDescent="0.3">
      <c r="A696" s="3" t="s">
        <v>715</v>
      </c>
      <c r="B696" s="3" t="s">
        <v>1024</v>
      </c>
      <c r="C696" s="3" t="s">
        <v>12</v>
      </c>
      <c r="D696" s="13">
        <v>45959</v>
      </c>
      <c r="E696" s="13">
        <v>45960</v>
      </c>
      <c r="F696" s="13">
        <v>45965</v>
      </c>
      <c r="G696" s="13">
        <v>45968</v>
      </c>
      <c r="H696" s="3" t="s">
        <v>13</v>
      </c>
      <c r="J696" s="4">
        <v>45982</v>
      </c>
      <c r="K696" s="3">
        <v>2</v>
      </c>
      <c r="L696" s="18">
        <f t="shared" si="41"/>
        <v>1</v>
      </c>
      <c r="M696">
        <f t="shared" si="42"/>
        <v>5</v>
      </c>
      <c r="N696">
        <f t="shared" si="43"/>
        <v>3</v>
      </c>
      <c r="O696" t="str">
        <f t="shared" si="44"/>
        <v>Detractor</v>
      </c>
    </row>
    <row r="697" spans="1:15" ht="14.25" customHeight="1" x14ac:dyDescent="0.3">
      <c r="A697" s="3" t="s">
        <v>716</v>
      </c>
      <c r="B697" s="3" t="s">
        <v>1023</v>
      </c>
      <c r="C697" s="3" t="s">
        <v>24</v>
      </c>
      <c r="D697" s="13">
        <v>45951</v>
      </c>
      <c r="E697" s="13">
        <v>45953</v>
      </c>
      <c r="F697" s="13">
        <v>45955</v>
      </c>
      <c r="G697" s="13">
        <v>45960</v>
      </c>
      <c r="H697" s="3" t="s">
        <v>13</v>
      </c>
      <c r="J697" s="4">
        <v>45974</v>
      </c>
      <c r="K697" s="3">
        <v>2</v>
      </c>
      <c r="L697" s="18">
        <f t="shared" si="41"/>
        <v>2</v>
      </c>
      <c r="M697">
        <f t="shared" si="42"/>
        <v>2</v>
      </c>
      <c r="N697">
        <f t="shared" si="43"/>
        <v>5</v>
      </c>
      <c r="O697" t="str">
        <f t="shared" si="44"/>
        <v>Detractor</v>
      </c>
    </row>
    <row r="698" spans="1:15" ht="14.25" customHeight="1" x14ac:dyDescent="0.3">
      <c r="A698" s="3" t="s">
        <v>717</v>
      </c>
      <c r="B698" s="3" t="s">
        <v>1022</v>
      </c>
      <c r="C698" s="3" t="s">
        <v>12</v>
      </c>
      <c r="D698" s="13">
        <v>45951</v>
      </c>
      <c r="E698" s="13">
        <v>45955</v>
      </c>
      <c r="F698" s="13">
        <v>45959</v>
      </c>
      <c r="G698" s="13">
        <v>45963</v>
      </c>
      <c r="H698" s="3" t="s">
        <v>13</v>
      </c>
      <c r="J698" s="4">
        <v>45979</v>
      </c>
      <c r="K698" s="3">
        <v>9</v>
      </c>
      <c r="L698" s="18">
        <f t="shared" si="41"/>
        <v>4</v>
      </c>
      <c r="M698">
        <f t="shared" si="42"/>
        <v>4</v>
      </c>
      <c r="N698">
        <f t="shared" si="43"/>
        <v>4</v>
      </c>
      <c r="O698" t="str">
        <f t="shared" si="44"/>
        <v>Promoter</v>
      </c>
    </row>
    <row r="699" spans="1:15" ht="14.25" customHeight="1" x14ac:dyDescent="0.3">
      <c r="A699" s="3" t="s">
        <v>718</v>
      </c>
      <c r="B699" s="3" t="s">
        <v>1024</v>
      </c>
      <c r="C699" s="3" t="s">
        <v>16</v>
      </c>
      <c r="D699" s="13">
        <v>45932</v>
      </c>
      <c r="H699" s="3" t="s">
        <v>17</v>
      </c>
      <c r="I699" s="3" t="s">
        <v>94</v>
      </c>
      <c r="M699">
        <f t="shared" si="42"/>
        <v>0</v>
      </c>
      <c r="N699">
        <f t="shared" si="43"/>
        <v>0</v>
      </c>
      <c r="O699" t="str">
        <f t="shared" si="44"/>
        <v>Detractor</v>
      </c>
    </row>
    <row r="700" spans="1:15" ht="14.25" customHeight="1" x14ac:dyDescent="0.3">
      <c r="A700" s="3" t="s">
        <v>719</v>
      </c>
      <c r="B700" s="3" t="s">
        <v>1022</v>
      </c>
      <c r="C700" s="3" t="s">
        <v>16</v>
      </c>
      <c r="D700" s="13">
        <v>45940</v>
      </c>
      <c r="H700" s="3" t="s">
        <v>17</v>
      </c>
      <c r="I700" s="3" t="s">
        <v>94</v>
      </c>
      <c r="M700">
        <f t="shared" si="42"/>
        <v>0</v>
      </c>
      <c r="N700">
        <f t="shared" si="43"/>
        <v>0</v>
      </c>
      <c r="O700" t="str">
        <f t="shared" si="44"/>
        <v>Detractor</v>
      </c>
    </row>
    <row r="701" spans="1:15" ht="14.25" customHeight="1" x14ac:dyDescent="0.3">
      <c r="A701" s="3" t="s">
        <v>720</v>
      </c>
      <c r="B701" s="3" t="s">
        <v>1021</v>
      </c>
      <c r="C701" s="3" t="s">
        <v>24</v>
      </c>
      <c r="D701" s="13">
        <v>45956</v>
      </c>
      <c r="E701" s="13">
        <v>45961</v>
      </c>
      <c r="F701" s="13">
        <v>45962</v>
      </c>
      <c r="G701" s="13">
        <v>45968</v>
      </c>
      <c r="H701" s="3" t="s">
        <v>13</v>
      </c>
      <c r="J701" s="4">
        <v>45988</v>
      </c>
      <c r="K701" s="3">
        <v>7</v>
      </c>
      <c r="L701" s="18">
        <f t="shared" si="41"/>
        <v>5</v>
      </c>
      <c r="M701">
        <f t="shared" si="42"/>
        <v>1</v>
      </c>
      <c r="N701">
        <f t="shared" si="43"/>
        <v>6</v>
      </c>
      <c r="O701" t="str">
        <f t="shared" si="44"/>
        <v>Passive</v>
      </c>
    </row>
    <row r="702" spans="1:15" ht="14.25" customHeight="1" x14ac:dyDescent="0.3">
      <c r="A702" s="3" t="s">
        <v>721</v>
      </c>
      <c r="B702" s="3" t="s">
        <v>1021</v>
      </c>
      <c r="C702" s="3" t="s">
        <v>16</v>
      </c>
      <c r="D702" s="13">
        <v>45945</v>
      </c>
      <c r="H702" s="3" t="s">
        <v>17</v>
      </c>
      <c r="I702" s="3" t="s">
        <v>56</v>
      </c>
      <c r="M702">
        <f t="shared" si="42"/>
        <v>0</v>
      </c>
      <c r="N702">
        <f t="shared" si="43"/>
        <v>0</v>
      </c>
      <c r="O702" t="str">
        <f t="shared" si="44"/>
        <v>Detractor</v>
      </c>
    </row>
    <row r="703" spans="1:15" ht="14.25" customHeight="1" x14ac:dyDescent="0.3">
      <c r="A703" s="3" t="s">
        <v>722</v>
      </c>
      <c r="B703" s="3" t="s">
        <v>1021</v>
      </c>
      <c r="C703" s="3" t="s">
        <v>24</v>
      </c>
      <c r="D703" s="13">
        <v>45932</v>
      </c>
      <c r="E703" s="13">
        <v>45936</v>
      </c>
      <c r="F703" s="13">
        <v>45939</v>
      </c>
      <c r="G703" s="13">
        <v>45944</v>
      </c>
      <c r="H703" s="3" t="s">
        <v>13</v>
      </c>
      <c r="J703" s="4">
        <v>45967</v>
      </c>
      <c r="K703" s="3">
        <v>9</v>
      </c>
      <c r="L703" s="18">
        <f t="shared" si="41"/>
        <v>4</v>
      </c>
      <c r="M703">
        <f t="shared" si="42"/>
        <v>3</v>
      </c>
      <c r="N703">
        <f t="shared" si="43"/>
        <v>5</v>
      </c>
      <c r="O703" t="str">
        <f t="shared" si="44"/>
        <v>Promoter</v>
      </c>
    </row>
    <row r="704" spans="1:15" ht="14.25" customHeight="1" x14ac:dyDescent="0.3">
      <c r="A704" s="3" t="s">
        <v>723</v>
      </c>
      <c r="B704" s="3" t="s">
        <v>1021</v>
      </c>
      <c r="C704" s="3" t="s">
        <v>24</v>
      </c>
      <c r="D704" s="13">
        <v>45949</v>
      </c>
      <c r="E704" s="13">
        <v>45954</v>
      </c>
      <c r="F704" s="13">
        <v>45956</v>
      </c>
      <c r="G704" s="13">
        <v>45959</v>
      </c>
      <c r="H704" s="3" t="s">
        <v>17</v>
      </c>
      <c r="I704" s="3" t="s">
        <v>20</v>
      </c>
      <c r="L704" s="18">
        <f t="shared" si="41"/>
        <v>5</v>
      </c>
      <c r="M704">
        <f t="shared" si="42"/>
        <v>2</v>
      </c>
      <c r="N704">
        <f t="shared" si="43"/>
        <v>3</v>
      </c>
      <c r="O704" t="str">
        <f t="shared" si="44"/>
        <v>Detractor</v>
      </c>
    </row>
    <row r="705" spans="1:15" ht="14.25" customHeight="1" x14ac:dyDescent="0.3">
      <c r="A705" s="3" t="s">
        <v>724</v>
      </c>
      <c r="B705" s="3" t="s">
        <v>1022</v>
      </c>
      <c r="C705" s="3" t="s">
        <v>12</v>
      </c>
      <c r="D705" s="13">
        <v>45942</v>
      </c>
      <c r="E705" s="13">
        <v>45943</v>
      </c>
      <c r="F705" s="13">
        <v>45948</v>
      </c>
      <c r="G705" s="13">
        <v>45955</v>
      </c>
      <c r="H705" s="3" t="s">
        <v>13</v>
      </c>
      <c r="J705" s="4">
        <v>45983</v>
      </c>
      <c r="K705" s="3">
        <v>2</v>
      </c>
      <c r="L705" s="18">
        <f t="shared" si="41"/>
        <v>1</v>
      </c>
      <c r="M705">
        <f t="shared" si="42"/>
        <v>5</v>
      </c>
      <c r="N705">
        <f t="shared" si="43"/>
        <v>7</v>
      </c>
      <c r="O705" t="str">
        <f t="shared" si="44"/>
        <v>Detractor</v>
      </c>
    </row>
    <row r="706" spans="1:15" ht="14.25" customHeight="1" x14ac:dyDescent="0.3">
      <c r="A706" s="3" t="s">
        <v>725</v>
      </c>
      <c r="B706" s="3" t="s">
        <v>1024</v>
      </c>
      <c r="C706" s="3" t="s">
        <v>12</v>
      </c>
      <c r="D706" s="13">
        <v>45954</v>
      </c>
      <c r="E706" s="13">
        <v>45957</v>
      </c>
      <c r="F706" s="13">
        <v>45959</v>
      </c>
      <c r="G706" s="13">
        <v>45965</v>
      </c>
      <c r="H706" s="3" t="s">
        <v>13</v>
      </c>
      <c r="J706" s="4">
        <v>45989</v>
      </c>
      <c r="K706" s="3">
        <v>9</v>
      </c>
      <c r="L706" s="18">
        <f t="shared" si="41"/>
        <v>3</v>
      </c>
      <c r="M706">
        <f t="shared" si="42"/>
        <v>2</v>
      </c>
      <c r="N706">
        <f t="shared" si="43"/>
        <v>6</v>
      </c>
      <c r="O706" t="str">
        <f t="shared" si="44"/>
        <v>Promoter</v>
      </c>
    </row>
    <row r="707" spans="1:15" ht="14.25" customHeight="1" x14ac:dyDescent="0.3">
      <c r="A707" s="3" t="s">
        <v>726</v>
      </c>
      <c r="B707" s="3" t="s">
        <v>1024</v>
      </c>
      <c r="C707" s="3" t="s">
        <v>12</v>
      </c>
      <c r="D707" s="13">
        <v>45935</v>
      </c>
      <c r="E707" s="13">
        <v>45938</v>
      </c>
      <c r="F707" s="13">
        <v>45943</v>
      </c>
      <c r="G707" s="13">
        <v>45946</v>
      </c>
      <c r="H707" s="3" t="s">
        <v>13</v>
      </c>
      <c r="J707" s="4">
        <v>45960</v>
      </c>
      <c r="K707" s="3">
        <v>2</v>
      </c>
      <c r="L707" s="18">
        <f t="shared" ref="L707:L770" si="45">E707-D707</f>
        <v>3</v>
      </c>
      <c r="M707">
        <f t="shared" ref="M707:M770" si="46">F707-E707</f>
        <v>5</v>
      </c>
      <c r="N707">
        <f t="shared" ref="N707:N770" si="47">G707-F707</f>
        <v>3</v>
      </c>
      <c r="O707" t="str">
        <f t="shared" ref="O707:O770" si="48">IF(K707&gt;=9,"Promoter",IF(K707&lt;=6,"Detractor","Passive"))</f>
        <v>Detractor</v>
      </c>
    </row>
    <row r="708" spans="1:15" ht="14.25" customHeight="1" x14ac:dyDescent="0.3">
      <c r="A708" s="3" t="s">
        <v>727</v>
      </c>
      <c r="B708" s="3" t="s">
        <v>1023</v>
      </c>
      <c r="C708" s="3" t="s">
        <v>12</v>
      </c>
      <c r="D708" s="13">
        <v>45933</v>
      </c>
      <c r="E708" s="13">
        <v>45937</v>
      </c>
      <c r="F708" s="13">
        <v>45941</v>
      </c>
      <c r="G708" s="13">
        <v>45944</v>
      </c>
      <c r="H708" s="3" t="s">
        <v>13</v>
      </c>
      <c r="J708" s="4">
        <v>45964</v>
      </c>
      <c r="K708" s="3">
        <v>6</v>
      </c>
      <c r="L708" s="18">
        <f t="shared" si="45"/>
        <v>4</v>
      </c>
      <c r="M708">
        <f t="shared" si="46"/>
        <v>4</v>
      </c>
      <c r="N708">
        <f t="shared" si="47"/>
        <v>3</v>
      </c>
      <c r="O708" t="str">
        <f t="shared" si="48"/>
        <v>Detractor</v>
      </c>
    </row>
    <row r="709" spans="1:15" ht="14.25" customHeight="1" x14ac:dyDescent="0.3">
      <c r="A709" s="3" t="s">
        <v>728</v>
      </c>
      <c r="B709" s="3" t="s">
        <v>1022</v>
      </c>
      <c r="C709" s="3" t="s">
        <v>24</v>
      </c>
      <c r="D709" s="13">
        <v>45960</v>
      </c>
      <c r="E709" s="13">
        <v>45962</v>
      </c>
      <c r="F709" s="13">
        <v>45967</v>
      </c>
      <c r="G709" s="13">
        <v>45969</v>
      </c>
      <c r="H709" s="3" t="s">
        <v>17</v>
      </c>
      <c r="I709" s="3" t="s">
        <v>26</v>
      </c>
      <c r="L709" s="18">
        <f t="shared" si="45"/>
        <v>2</v>
      </c>
      <c r="M709">
        <f t="shared" si="46"/>
        <v>5</v>
      </c>
      <c r="N709">
        <f t="shared" si="47"/>
        <v>2</v>
      </c>
      <c r="O709" t="str">
        <f t="shared" si="48"/>
        <v>Detractor</v>
      </c>
    </row>
    <row r="710" spans="1:15" ht="14.25" customHeight="1" x14ac:dyDescent="0.3">
      <c r="A710" s="3" t="s">
        <v>729</v>
      </c>
      <c r="B710" s="3" t="s">
        <v>1021</v>
      </c>
      <c r="C710" s="3" t="s">
        <v>24</v>
      </c>
      <c r="D710" s="13">
        <v>45940</v>
      </c>
      <c r="E710" s="13">
        <v>45945</v>
      </c>
      <c r="F710" s="13">
        <v>45948</v>
      </c>
      <c r="G710" s="13">
        <v>45953</v>
      </c>
      <c r="H710" s="3" t="s">
        <v>13</v>
      </c>
      <c r="J710" s="4">
        <v>45968</v>
      </c>
      <c r="K710" s="3">
        <v>2</v>
      </c>
      <c r="L710" s="18">
        <f t="shared" si="45"/>
        <v>5</v>
      </c>
      <c r="M710">
        <f t="shared" si="46"/>
        <v>3</v>
      </c>
      <c r="N710">
        <f t="shared" si="47"/>
        <v>5</v>
      </c>
      <c r="O710" t="str">
        <f t="shared" si="48"/>
        <v>Detractor</v>
      </c>
    </row>
    <row r="711" spans="1:15" ht="14.25" customHeight="1" x14ac:dyDescent="0.3">
      <c r="A711" s="3" t="s">
        <v>730</v>
      </c>
      <c r="B711" s="3" t="s">
        <v>1022</v>
      </c>
      <c r="C711" s="3" t="s">
        <v>12</v>
      </c>
      <c r="D711" s="13">
        <v>45941</v>
      </c>
      <c r="E711" s="13">
        <v>45944</v>
      </c>
      <c r="F711" s="13">
        <v>45948</v>
      </c>
      <c r="G711" s="13">
        <v>45950</v>
      </c>
      <c r="H711" s="3" t="s">
        <v>13</v>
      </c>
      <c r="J711" s="4">
        <v>45962</v>
      </c>
      <c r="K711" s="3">
        <v>6</v>
      </c>
      <c r="L711" s="18">
        <f t="shared" si="45"/>
        <v>3</v>
      </c>
      <c r="M711">
        <f t="shared" si="46"/>
        <v>4</v>
      </c>
      <c r="N711">
        <f t="shared" si="47"/>
        <v>2</v>
      </c>
      <c r="O711" t="str">
        <f t="shared" si="48"/>
        <v>Detractor</v>
      </c>
    </row>
    <row r="712" spans="1:15" ht="14.25" customHeight="1" x14ac:dyDescent="0.3">
      <c r="A712" s="3" t="s">
        <v>731</v>
      </c>
      <c r="B712" s="3" t="s">
        <v>1023</v>
      </c>
      <c r="C712" s="3" t="s">
        <v>12</v>
      </c>
      <c r="D712" s="13">
        <v>45954</v>
      </c>
      <c r="E712" s="13">
        <v>45958</v>
      </c>
      <c r="F712" s="13">
        <v>45960</v>
      </c>
      <c r="G712" s="13">
        <v>45963</v>
      </c>
      <c r="H712" s="3" t="s">
        <v>13</v>
      </c>
      <c r="J712" s="4">
        <v>45988</v>
      </c>
      <c r="K712" s="3">
        <v>8</v>
      </c>
      <c r="L712" s="18">
        <f t="shared" si="45"/>
        <v>4</v>
      </c>
      <c r="M712">
        <f t="shared" si="46"/>
        <v>2</v>
      </c>
      <c r="N712">
        <f t="shared" si="47"/>
        <v>3</v>
      </c>
      <c r="O712" t="str">
        <f t="shared" si="48"/>
        <v>Passive</v>
      </c>
    </row>
    <row r="713" spans="1:15" ht="14.25" customHeight="1" x14ac:dyDescent="0.3">
      <c r="A713" s="3" t="s">
        <v>732</v>
      </c>
      <c r="B713" s="3" t="s">
        <v>1023</v>
      </c>
      <c r="C713" s="3" t="s">
        <v>12</v>
      </c>
      <c r="D713" s="13">
        <v>45944</v>
      </c>
      <c r="E713" s="13">
        <v>45946</v>
      </c>
      <c r="F713" s="13">
        <v>45947</v>
      </c>
      <c r="G713" s="13">
        <v>45953</v>
      </c>
      <c r="H713" s="3" t="s">
        <v>13</v>
      </c>
      <c r="J713" s="4">
        <v>45973</v>
      </c>
      <c r="K713" s="3">
        <v>2</v>
      </c>
      <c r="L713" s="18">
        <f t="shared" si="45"/>
        <v>2</v>
      </c>
      <c r="M713">
        <f t="shared" si="46"/>
        <v>1</v>
      </c>
      <c r="N713">
        <f t="shared" si="47"/>
        <v>6</v>
      </c>
      <c r="O713" t="str">
        <f t="shared" si="48"/>
        <v>Detractor</v>
      </c>
    </row>
    <row r="714" spans="1:15" ht="14.25" customHeight="1" x14ac:dyDescent="0.3">
      <c r="A714" s="3" t="s">
        <v>733</v>
      </c>
      <c r="B714" s="3" t="s">
        <v>1022</v>
      </c>
      <c r="C714" s="3" t="s">
        <v>24</v>
      </c>
      <c r="D714" s="13">
        <v>45936</v>
      </c>
      <c r="E714" s="13">
        <v>45937</v>
      </c>
      <c r="F714" s="13">
        <v>45942</v>
      </c>
      <c r="G714" s="13">
        <v>45946</v>
      </c>
      <c r="H714" s="3" t="s">
        <v>13</v>
      </c>
      <c r="J714" s="4">
        <v>45976</v>
      </c>
      <c r="K714" s="3">
        <v>5</v>
      </c>
      <c r="L714" s="18">
        <f t="shared" si="45"/>
        <v>1</v>
      </c>
      <c r="M714">
        <f t="shared" si="46"/>
        <v>5</v>
      </c>
      <c r="N714">
        <f t="shared" si="47"/>
        <v>4</v>
      </c>
      <c r="O714" t="str">
        <f t="shared" si="48"/>
        <v>Detractor</v>
      </c>
    </row>
    <row r="715" spans="1:15" ht="14.25" customHeight="1" x14ac:dyDescent="0.3">
      <c r="A715" s="3" t="s">
        <v>734</v>
      </c>
      <c r="B715" s="3" t="s">
        <v>1022</v>
      </c>
      <c r="C715" s="3" t="s">
        <v>12</v>
      </c>
      <c r="D715" s="13">
        <v>45937</v>
      </c>
      <c r="E715" s="13">
        <v>45939</v>
      </c>
      <c r="F715" s="13">
        <v>45942</v>
      </c>
      <c r="G715" s="13">
        <v>45949</v>
      </c>
      <c r="H715" s="3" t="s">
        <v>13</v>
      </c>
      <c r="J715" s="4">
        <v>45964</v>
      </c>
      <c r="K715" s="3">
        <v>8</v>
      </c>
      <c r="L715" s="18">
        <f t="shared" si="45"/>
        <v>2</v>
      </c>
      <c r="M715">
        <f t="shared" si="46"/>
        <v>3</v>
      </c>
      <c r="N715">
        <f t="shared" si="47"/>
        <v>7</v>
      </c>
      <c r="O715" t="str">
        <f t="shared" si="48"/>
        <v>Passive</v>
      </c>
    </row>
    <row r="716" spans="1:15" ht="14.25" customHeight="1" x14ac:dyDescent="0.3">
      <c r="A716" s="3" t="s">
        <v>735</v>
      </c>
      <c r="B716" s="3" t="s">
        <v>1022</v>
      </c>
      <c r="C716" s="3" t="s">
        <v>24</v>
      </c>
      <c r="D716" s="13">
        <v>45935</v>
      </c>
      <c r="E716" s="13">
        <v>45936</v>
      </c>
      <c r="F716" s="13">
        <v>45937</v>
      </c>
      <c r="G716" s="13">
        <v>45944</v>
      </c>
      <c r="H716" s="3" t="s">
        <v>13</v>
      </c>
      <c r="J716" s="4">
        <v>45964</v>
      </c>
      <c r="K716" s="3">
        <v>7</v>
      </c>
      <c r="L716" s="18">
        <f t="shared" si="45"/>
        <v>1</v>
      </c>
      <c r="M716">
        <f t="shared" si="46"/>
        <v>1</v>
      </c>
      <c r="N716">
        <f t="shared" si="47"/>
        <v>7</v>
      </c>
      <c r="O716" t="str">
        <f t="shared" si="48"/>
        <v>Passive</v>
      </c>
    </row>
    <row r="717" spans="1:15" ht="14.25" customHeight="1" x14ac:dyDescent="0.3">
      <c r="A717" s="3" t="s">
        <v>736</v>
      </c>
      <c r="B717" s="3" t="s">
        <v>1024</v>
      </c>
      <c r="C717" s="3" t="s">
        <v>24</v>
      </c>
      <c r="D717" s="13">
        <v>45956</v>
      </c>
      <c r="E717" s="13">
        <v>45960</v>
      </c>
      <c r="F717" s="13">
        <v>45961</v>
      </c>
      <c r="G717" s="13">
        <v>45963</v>
      </c>
      <c r="H717" s="3" t="s">
        <v>13</v>
      </c>
      <c r="J717" s="4">
        <v>45993</v>
      </c>
      <c r="K717" s="3">
        <v>7</v>
      </c>
      <c r="L717" s="18">
        <f t="shared" si="45"/>
        <v>4</v>
      </c>
      <c r="M717">
        <f t="shared" si="46"/>
        <v>1</v>
      </c>
      <c r="N717">
        <f t="shared" si="47"/>
        <v>2</v>
      </c>
      <c r="O717" t="str">
        <f t="shared" si="48"/>
        <v>Passive</v>
      </c>
    </row>
    <row r="718" spans="1:15" ht="14.25" customHeight="1" x14ac:dyDescent="0.3">
      <c r="A718" s="3" t="s">
        <v>737</v>
      </c>
      <c r="B718" s="3" t="s">
        <v>1021</v>
      </c>
      <c r="C718" s="3" t="s">
        <v>12</v>
      </c>
      <c r="D718" s="13">
        <v>45948</v>
      </c>
      <c r="E718" s="13">
        <v>45950</v>
      </c>
      <c r="F718" s="13">
        <v>45954</v>
      </c>
      <c r="G718" s="13">
        <v>45958</v>
      </c>
      <c r="H718" s="3" t="s">
        <v>13</v>
      </c>
      <c r="J718" s="4">
        <v>45969</v>
      </c>
      <c r="K718" s="3">
        <v>9</v>
      </c>
      <c r="L718" s="18">
        <f t="shared" si="45"/>
        <v>2</v>
      </c>
      <c r="M718">
        <f t="shared" si="46"/>
        <v>4</v>
      </c>
      <c r="N718">
        <f t="shared" si="47"/>
        <v>4</v>
      </c>
      <c r="O718" t="str">
        <f t="shared" si="48"/>
        <v>Promoter</v>
      </c>
    </row>
    <row r="719" spans="1:15" ht="14.25" customHeight="1" x14ac:dyDescent="0.3">
      <c r="A719" s="3" t="s">
        <v>738</v>
      </c>
      <c r="B719" s="3" t="s">
        <v>1022</v>
      </c>
      <c r="C719" s="3" t="s">
        <v>24</v>
      </c>
      <c r="D719" s="13">
        <v>45959</v>
      </c>
      <c r="E719" s="13">
        <v>45963</v>
      </c>
      <c r="F719" s="13">
        <v>45965</v>
      </c>
      <c r="G719" s="13">
        <v>45967</v>
      </c>
      <c r="H719" s="3" t="s">
        <v>13</v>
      </c>
      <c r="J719" s="4">
        <v>45977</v>
      </c>
      <c r="K719" s="3">
        <v>7</v>
      </c>
      <c r="L719" s="18">
        <f t="shared" si="45"/>
        <v>4</v>
      </c>
      <c r="M719">
        <f t="shared" si="46"/>
        <v>2</v>
      </c>
      <c r="N719">
        <f t="shared" si="47"/>
        <v>2</v>
      </c>
      <c r="O719" t="str">
        <f t="shared" si="48"/>
        <v>Passive</v>
      </c>
    </row>
    <row r="720" spans="1:15" ht="14.25" customHeight="1" x14ac:dyDescent="0.3">
      <c r="A720" s="3" t="s">
        <v>739</v>
      </c>
      <c r="B720" s="3" t="s">
        <v>1022</v>
      </c>
      <c r="C720" s="3" t="s">
        <v>24</v>
      </c>
      <c r="D720" s="13">
        <v>45942</v>
      </c>
      <c r="E720" s="13">
        <v>45943</v>
      </c>
      <c r="F720" s="13">
        <v>45944</v>
      </c>
      <c r="G720" s="13">
        <v>45951</v>
      </c>
      <c r="H720" s="3" t="s">
        <v>13</v>
      </c>
      <c r="J720" s="4">
        <v>45975</v>
      </c>
      <c r="K720" s="3">
        <v>2</v>
      </c>
      <c r="L720" s="18">
        <f t="shared" si="45"/>
        <v>1</v>
      </c>
      <c r="M720">
        <f t="shared" si="46"/>
        <v>1</v>
      </c>
      <c r="N720">
        <f t="shared" si="47"/>
        <v>7</v>
      </c>
      <c r="O720" t="str">
        <f t="shared" si="48"/>
        <v>Detractor</v>
      </c>
    </row>
    <row r="721" spans="1:15" ht="14.25" customHeight="1" x14ac:dyDescent="0.3">
      <c r="A721" s="3" t="s">
        <v>740</v>
      </c>
      <c r="B721" s="3" t="s">
        <v>1022</v>
      </c>
      <c r="C721" s="3" t="s">
        <v>12</v>
      </c>
      <c r="D721" s="13">
        <v>45947</v>
      </c>
      <c r="E721" s="13">
        <v>45950</v>
      </c>
      <c r="F721" s="13">
        <v>45953</v>
      </c>
      <c r="G721" s="13">
        <v>45958</v>
      </c>
      <c r="H721" s="3" t="s">
        <v>13</v>
      </c>
      <c r="J721" s="4">
        <v>45976</v>
      </c>
      <c r="K721" s="3">
        <v>7</v>
      </c>
      <c r="L721" s="18">
        <f t="shared" si="45"/>
        <v>3</v>
      </c>
      <c r="M721">
        <f t="shared" si="46"/>
        <v>3</v>
      </c>
      <c r="N721">
        <f t="shared" si="47"/>
        <v>5</v>
      </c>
      <c r="O721" t="str">
        <f t="shared" si="48"/>
        <v>Passive</v>
      </c>
    </row>
    <row r="722" spans="1:15" ht="14.25" customHeight="1" x14ac:dyDescent="0.3">
      <c r="A722" s="3" t="s">
        <v>741</v>
      </c>
      <c r="B722" s="3" t="s">
        <v>1023</v>
      </c>
      <c r="C722" s="3" t="s">
        <v>12</v>
      </c>
      <c r="D722" s="13">
        <v>45947</v>
      </c>
      <c r="E722" s="13">
        <v>45950</v>
      </c>
      <c r="F722" s="13">
        <v>45955</v>
      </c>
      <c r="G722" s="13">
        <v>45962</v>
      </c>
      <c r="H722" s="3" t="s">
        <v>13</v>
      </c>
      <c r="J722" s="4">
        <v>45978</v>
      </c>
      <c r="K722" s="3">
        <v>4</v>
      </c>
      <c r="L722" s="18">
        <f t="shared" si="45"/>
        <v>3</v>
      </c>
      <c r="M722">
        <f t="shared" si="46"/>
        <v>5</v>
      </c>
      <c r="N722">
        <f t="shared" si="47"/>
        <v>7</v>
      </c>
      <c r="O722" t="str">
        <f t="shared" si="48"/>
        <v>Detractor</v>
      </c>
    </row>
    <row r="723" spans="1:15" ht="14.25" customHeight="1" x14ac:dyDescent="0.3">
      <c r="A723" s="3" t="s">
        <v>742</v>
      </c>
      <c r="B723" s="3" t="s">
        <v>1023</v>
      </c>
      <c r="C723" s="3" t="s">
        <v>12</v>
      </c>
      <c r="D723" s="13">
        <v>45960</v>
      </c>
      <c r="E723" s="13">
        <v>45961</v>
      </c>
      <c r="F723" s="13">
        <v>45966</v>
      </c>
      <c r="G723" s="13">
        <v>45973</v>
      </c>
      <c r="H723" s="3" t="s">
        <v>13</v>
      </c>
      <c r="J723" s="4">
        <v>45988</v>
      </c>
      <c r="K723" s="3">
        <v>6</v>
      </c>
      <c r="L723" s="18">
        <f t="shared" si="45"/>
        <v>1</v>
      </c>
      <c r="M723">
        <f t="shared" si="46"/>
        <v>5</v>
      </c>
      <c r="N723">
        <f t="shared" si="47"/>
        <v>7</v>
      </c>
      <c r="O723" t="str">
        <f t="shared" si="48"/>
        <v>Detractor</v>
      </c>
    </row>
    <row r="724" spans="1:15" ht="14.25" customHeight="1" x14ac:dyDescent="0.3">
      <c r="A724" s="3" t="s">
        <v>743</v>
      </c>
      <c r="B724" s="3" t="s">
        <v>1024</v>
      </c>
      <c r="C724" s="3" t="s">
        <v>24</v>
      </c>
      <c r="D724" s="13">
        <v>45939</v>
      </c>
      <c r="E724" s="13">
        <v>45944</v>
      </c>
      <c r="F724" s="13">
        <v>45949</v>
      </c>
      <c r="G724" s="13">
        <v>45953</v>
      </c>
      <c r="H724" s="3" t="s">
        <v>13</v>
      </c>
      <c r="J724" s="4">
        <v>45981</v>
      </c>
      <c r="K724" s="3">
        <v>3</v>
      </c>
      <c r="L724" s="18">
        <f t="shared" si="45"/>
        <v>5</v>
      </c>
      <c r="M724">
        <f t="shared" si="46"/>
        <v>5</v>
      </c>
      <c r="N724">
        <f t="shared" si="47"/>
        <v>4</v>
      </c>
      <c r="O724" t="str">
        <f t="shared" si="48"/>
        <v>Detractor</v>
      </c>
    </row>
    <row r="725" spans="1:15" ht="14.25" customHeight="1" x14ac:dyDescent="0.3">
      <c r="A725" s="3" t="s">
        <v>744</v>
      </c>
      <c r="B725" s="3" t="s">
        <v>1021</v>
      </c>
      <c r="C725" s="3" t="s">
        <v>24</v>
      </c>
      <c r="D725" s="13">
        <v>45957</v>
      </c>
      <c r="E725" s="13">
        <v>45962</v>
      </c>
      <c r="F725" s="13">
        <v>45966</v>
      </c>
      <c r="G725" s="13">
        <v>45968</v>
      </c>
      <c r="H725" s="3" t="s">
        <v>13</v>
      </c>
      <c r="J725" s="4">
        <v>45983</v>
      </c>
      <c r="K725" s="3">
        <v>4</v>
      </c>
      <c r="L725" s="18">
        <f t="shared" si="45"/>
        <v>5</v>
      </c>
      <c r="M725">
        <f t="shared" si="46"/>
        <v>4</v>
      </c>
      <c r="N725">
        <f t="shared" si="47"/>
        <v>2</v>
      </c>
      <c r="O725" t="str">
        <f t="shared" si="48"/>
        <v>Detractor</v>
      </c>
    </row>
    <row r="726" spans="1:15" ht="14.25" customHeight="1" x14ac:dyDescent="0.3">
      <c r="A726" s="3" t="s">
        <v>745</v>
      </c>
      <c r="B726" s="3" t="s">
        <v>1024</v>
      </c>
      <c r="C726" s="3" t="s">
        <v>24</v>
      </c>
      <c r="D726" s="13">
        <v>45936</v>
      </c>
      <c r="E726" s="13">
        <v>45939</v>
      </c>
      <c r="F726" s="13">
        <v>45942</v>
      </c>
      <c r="G726" s="13">
        <v>45945</v>
      </c>
      <c r="H726" s="3" t="s">
        <v>13</v>
      </c>
      <c r="J726" s="4">
        <v>45970</v>
      </c>
      <c r="K726" s="3">
        <v>10</v>
      </c>
      <c r="L726" s="18">
        <f t="shared" si="45"/>
        <v>3</v>
      </c>
      <c r="M726">
        <f t="shared" si="46"/>
        <v>3</v>
      </c>
      <c r="N726">
        <f t="shared" si="47"/>
        <v>3</v>
      </c>
      <c r="O726" t="str">
        <f t="shared" si="48"/>
        <v>Promoter</v>
      </c>
    </row>
    <row r="727" spans="1:15" ht="14.25" customHeight="1" x14ac:dyDescent="0.3">
      <c r="A727" s="3" t="s">
        <v>746</v>
      </c>
      <c r="B727" s="3" t="s">
        <v>1021</v>
      </c>
      <c r="C727" s="3" t="s">
        <v>24</v>
      </c>
      <c r="D727" s="13">
        <v>45939</v>
      </c>
      <c r="E727" s="13">
        <v>45942</v>
      </c>
      <c r="F727" s="13">
        <v>45943</v>
      </c>
      <c r="G727" s="13">
        <v>45949</v>
      </c>
      <c r="H727" s="3" t="s">
        <v>13</v>
      </c>
      <c r="J727" s="4">
        <v>45961</v>
      </c>
      <c r="K727" s="3">
        <v>8</v>
      </c>
      <c r="L727" s="18">
        <f t="shared" si="45"/>
        <v>3</v>
      </c>
      <c r="M727">
        <f t="shared" si="46"/>
        <v>1</v>
      </c>
      <c r="N727">
        <f t="shared" si="47"/>
        <v>6</v>
      </c>
      <c r="O727" t="str">
        <f t="shared" si="48"/>
        <v>Passive</v>
      </c>
    </row>
    <row r="728" spans="1:15" ht="14.25" customHeight="1" x14ac:dyDescent="0.3">
      <c r="A728" s="3" t="s">
        <v>747</v>
      </c>
      <c r="B728" s="3" t="s">
        <v>1023</v>
      </c>
      <c r="C728" s="3" t="s">
        <v>12</v>
      </c>
      <c r="D728" s="13">
        <v>45960</v>
      </c>
      <c r="E728" s="13">
        <v>45962</v>
      </c>
      <c r="F728" s="13">
        <v>45965</v>
      </c>
      <c r="G728" s="13">
        <v>45968</v>
      </c>
      <c r="H728" s="3" t="s">
        <v>13</v>
      </c>
      <c r="J728" s="4">
        <v>45982</v>
      </c>
      <c r="K728" s="3">
        <v>10</v>
      </c>
      <c r="L728" s="18">
        <f t="shared" si="45"/>
        <v>2</v>
      </c>
      <c r="M728">
        <f t="shared" si="46"/>
        <v>3</v>
      </c>
      <c r="N728">
        <f t="shared" si="47"/>
        <v>3</v>
      </c>
      <c r="O728" t="str">
        <f t="shared" si="48"/>
        <v>Promoter</v>
      </c>
    </row>
    <row r="729" spans="1:15" ht="14.25" customHeight="1" x14ac:dyDescent="0.3">
      <c r="A729" s="3" t="s">
        <v>748</v>
      </c>
      <c r="B729" s="3" t="s">
        <v>1023</v>
      </c>
      <c r="C729" s="3" t="s">
        <v>16</v>
      </c>
      <c r="D729" s="13">
        <v>45957</v>
      </c>
      <c r="H729" s="3" t="s">
        <v>17</v>
      </c>
      <c r="I729" s="3" t="s">
        <v>26</v>
      </c>
      <c r="M729">
        <f t="shared" si="46"/>
        <v>0</v>
      </c>
      <c r="N729">
        <f t="shared" si="47"/>
        <v>0</v>
      </c>
      <c r="O729" t="str">
        <f t="shared" si="48"/>
        <v>Detractor</v>
      </c>
    </row>
    <row r="730" spans="1:15" ht="14.25" customHeight="1" x14ac:dyDescent="0.3">
      <c r="A730" s="3" t="s">
        <v>749</v>
      </c>
      <c r="B730" s="3" t="s">
        <v>1023</v>
      </c>
      <c r="C730" s="3" t="s">
        <v>12</v>
      </c>
      <c r="D730" s="13">
        <v>45961</v>
      </c>
      <c r="E730" s="13">
        <v>45963</v>
      </c>
      <c r="F730" s="13">
        <v>45967</v>
      </c>
      <c r="G730" s="13">
        <v>45972</v>
      </c>
      <c r="H730" s="3" t="s">
        <v>13</v>
      </c>
      <c r="J730" s="4">
        <v>46001</v>
      </c>
      <c r="K730" s="3">
        <v>3</v>
      </c>
      <c r="L730" s="18">
        <f t="shared" si="45"/>
        <v>2</v>
      </c>
      <c r="M730">
        <f t="shared" si="46"/>
        <v>4</v>
      </c>
      <c r="N730">
        <f t="shared" si="47"/>
        <v>5</v>
      </c>
      <c r="O730" t="str">
        <f t="shared" si="48"/>
        <v>Detractor</v>
      </c>
    </row>
    <row r="731" spans="1:15" ht="14.25" customHeight="1" x14ac:dyDescent="0.3">
      <c r="A731" s="3" t="s">
        <v>750</v>
      </c>
      <c r="B731" s="3" t="s">
        <v>1024</v>
      </c>
      <c r="C731" s="3" t="s">
        <v>12</v>
      </c>
      <c r="D731" s="13">
        <v>45946</v>
      </c>
      <c r="E731" s="13">
        <v>45949</v>
      </c>
      <c r="F731" s="13">
        <v>45953</v>
      </c>
      <c r="G731" s="13">
        <v>45958</v>
      </c>
      <c r="H731" s="3" t="s">
        <v>13</v>
      </c>
      <c r="J731" s="4">
        <v>45981</v>
      </c>
      <c r="K731" s="3">
        <v>9</v>
      </c>
      <c r="L731" s="18">
        <f t="shared" si="45"/>
        <v>3</v>
      </c>
      <c r="M731">
        <f t="shared" si="46"/>
        <v>4</v>
      </c>
      <c r="N731">
        <f t="shared" si="47"/>
        <v>5</v>
      </c>
      <c r="O731" t="str">
        <f t="shared" si="48"/>
        <v>Promoter</v>
      </c>
    </row>
    <row r="732" spans="1:15" ht="14.25" customHeight="1" x14ac:dyDescent="0.3">
      <c r="A732" s="3" t="s">
        <v>751</v>
      </c>
      <c r="B732" s="3" t="s">
        <v>1022</v>
      </c>
      <c r="C732" s="3" t="s">
        <v>12</v>
      </c>
      <c r="D732" s="13">
        <v>45961</v>
      </c>
      <c r="E732" s="13">
        <v>45966</v>
      </c>
      <c r="F732" s="13">
        <v>45968</v>
      </c>
      <c r="G732" s="13">
        <v>45970</v>
      </c>
      <c r="H732" s="3" t="s">
        <v>13</v>
      </c>
      <c r="J732" s="4">
        <v>46000</v>
      </c>
      <c r="K732" s="3">
        <v>1</v>
      </c>
      <c r="L732" s="18">
        <f t="shared" si="45"/>
        <v>5</v>
      </c>
      <c r="M732">
        <f t="shared" si="46"/>
        <v>2</v>
      </c>
      <c r="N732">
        <f t="shared" si="47"/>
        <v>2</v>
      </c>
      <c r="O732" t="str">
        <f t="shared" si="48"/>
        <v>Detractor</v>
      </c>
    </row>
    <row r="733" spans="1:15" ht="14.25" customHeight="1" x14ac:dyDescent="0.3">
      <c r="A733" s="3" t="s">
        <v>752</v>
      </c>
      <c r="B733" s="3" t="s">
        <v>1022</v>
      </c>
      <c r="C733" s="3" t="s">
        <v>12</v>
      </c>
      <c r="D733" s="13">
        <v>45956</v>
      </c>
      <c r="E733" s="13">
        <v>45958</v>
      </c>
      <c r="F733" s="13">
        <v>45961</v>
      </c>
      <c r="G733" s="13">
        <v>45964</v>
      </c>
      <c r="H733" s="3" t="s">
        <v>13</v>
      </c>
      <c r="J733" s="4">
        <v>45987</v>
      </c>
      <c r="K733" s="3">
        <v>8</v>
      </c>
      <c r="L733" s="18">
        <f t="shared" si="45"/>
        <v>2</v>
      </c>
      <c r="M733">
        <f t="shared" si="46"/>
        <v>3</v>
      </c>
      <c r="N733">
        <f t="shared" si="47"/>
        <v>3</v>
      </c>
      <c r="O733" t="str">
        <f t="shared" si="48"/>
        <v>Passive</v>
      </c>
    </row>
    <row r="734" spans="1:15" ht="14.25" customHeight="1" x14ac:dyDescent="0.3">
      <c r="A734" s="3" t="s">
        <v>753</v>
      </c>
      <c r="B734" s="3" t="s">
        <v>1023</v>
      </c>
      <c r="C734" s="3" t="s">
        <v>12</v>
      </c>
      <c r="D734" s="13">
        <v>45940</v>
      </c>
      <c r="E734" s="13">
        <v>45941</v>
      </c>
      <c r="F734" s="13">
        <v>45946</v>
      </c>
      <c r="G734" s="13">
        <v>45953</v>
      </c>
      <c r="H734" s="3" t="s">
        <v>13</v>
      </c>
      <c r="J734" s="4">
        <v>45975</v>
      </c>
      <c r="K734" s="3">
        <v>6</v>
      </c>
      <c r="L734" s="18">
        <f t="shared" si="45"/>
        <v>1</v>
      </c>
      <c r="M734">
        <f t="shared" si="46"/>
        <v>5</v>
      </c>
      <c r="N734">
        <f t="shared" si="47"/>
        <v>7</v>
      </c>
      <c r="O734" t="str">
        <f t="shared" si="48"/>
        <v>Detractor</v>
      </c>
    </row>
    <row r="735" spans="1:15" ht="14.25" customHeight="1" x14ac:dyDescent="0.3">
      <c r="A735" s="3" t="s">
        <v>754</v>
      </c>
      <c r="B735" s="3" t="s">
        <v>1022</v>
      </c>
      <c r="C735" s="3" t="s">
        <v>12</v>
      </c>
      <c r="D735" s="13">
        <v>45954</v>
      </c>
      <c r="E735" s="13">
        <v>45956</v>
      </c>
      <c r="F735" s="13">
        <v>45960</v>
      </c>
      <c r="G735" s="13">
        <v>45964</v>
      </c>
      <c r="H735" s="3" t="s">
        <v>13</v>
      </c>
      <c r="J735" s="4">
        <v>45987</v>
      </c>
      <c r="K735" s="3">
        <v>4</v>
      </c>
      <c r="L735" s="18">
        <f t="shared" si="45"/>
        <v>2</v>
      </c>
      <c r="M735">
        <f t="shared" si="46"/>
        <v>4</v>
      </c>
      <c r="N735">
        <f t="shared" si="47"/>
        <v>4</v>
      </c>
      <c r="O735" t="str">
        <f t="shared" si="48"/>
        <v>Detractor</v>
      </c>
    </row>
    <row r="736" spans="1:15" ht="14.25" customHeight="1" x14ac:dyDescent="0.3">
      <c r="A736" s="3" t="s">
        <v>755</v>
      </c>
      <c r="B736" s="3" t="s">
        <v>1022</v>
      </c>
      <c r="C736" s="3" t="s">
        <v>12</v>
      </c>
      <c r="D736" s="13">
        <v>45958</v>
      </c>
      <c r="E736" s="13">
        <v>45960</v>
      </c>
      <c r="F736" s="13">
        <v>45964</v>
      </c>
      <c r="G736" s="13">
        <v>45966</v>
      </c>
      <c r="H736" s="3" t="s">
        <v>13</v>
      </c>
      <c r="J736" s="4">
        <v>45991</v>
      </c>
      <c r="K736" s="3">
        <v>4</v>
      </c>
      <c r="L736" s="18">
        <f t="shared" si="45"/>
        <v>2</v>
      </c>
      <c r="M736">
        <f t="shared" si="46"/>
        <v>4</v>
      </c>
      <c r="N736">
        <f t="shared" si="47"/>
        <v>2</v>
      </c>
      <c r="O736" t="str">
        <f t="shared" si="48"/>
        <v>Detractor</v>
      </c>
    </row>
    <row r="737" spans="1:15" ht="14.25" customHeight="1" x14ac:dyDescent="0.3">
      <c r="A737" s="3" t="s">
        <v>756</v>
      </c>
      <c r="B737" s="3" t="s">
        <v>1024</v>
      </c>
      <c r="C737" s="3" t="s">
        <v>24</v>
      </c>
      <c r="D737" s="13">
        <v>45941</v>
      </c>
      <c r="E737" s="13">
        <v>45943</v>
      </c>
      <c r="F737" s="13">
        <v>45945</v>
      </c>
      <c r="G737" s="13">
        <v>45947</v>
      </c>
      <c r="H737" s="3" t="s">
        <v>13</v>
      </c>
      <c r="J737" s="4">
        <v>45969</v>
      </c>
      <c r="K737" s="3">
        <v>9</v>
      </c>
      <c r="L737" s="18">
        <f t="shared" si="45"/>
        <v>2</v>
      </c>
      <c r="M737">
        <f t="shared" si="46"/>
        <v>2</v>
      </c>
      <c r="N737">
        <f t="shared" si="47"/>
        <v>2</v>
      </c>
      <c r="O737" t="str">
        <f t="shared" si="48"/>
        <v>Promoter</v>
      </c>
    </row>
    <row r="738" spans="1:15" ht="14.25" customHeight="1" x14ac:dyDescent="0.3">
      <c r="A738" s="3" t="s">
        <v>757</v>
      </c>
      <c r="B738" s="3" t="s">
        <v>1021</v>
      </c>
      <c r="C738" s="3" t="s">
        <v>12</v>
      </c>
      <c r="D738" s="13">
        <v>45956</v>
      </c>
      <c r="E738" s="13">
        <v>45960</v>
      </c>
      <c r="F738" s="13">
        <v>45965</v>
      </c>
      <c r="G738" s="13">
        <v>45968</v>
      </c>
      <c r="H738" s="3" t="s">
        <v>13</v>
      </c>
      <c r="J738" s="4">
        <v>45978</v>
      </c>
      <c r="K738" s="3">
        <v>0</v>
      </c>
      <c r="L738" s="18">
        <f t="shared" si="45"/>
        <v>4</v>
      </c>
      <c r="M738">
        <f t="shared" si="46"/>
        <v>5</v>
      </c>
      <c r="N738">
        <f t="shared" si="47"/>
        <v>3</v>
      </c>
      <c r="O738" t="str">
        <f t="shared" si="48"/>
        <v>Detractor</v>
      </c>
    </row>
    <row r="739" spans="1:15" ht="14.25" customHeight="1" x14ac:dyDescent="0.3">
      <c r="A739" s="3" t="s">
        <v>758</v>
      </c>
      <c r="B739" s="3" t="s">
        <v>1023</v>
      </c>
      <c r="C739" s="3" t="s">
        <v>16</v>
      </c>
      <c r="D739" s="13">
        <v>45934</v>
      </c>
      <c r="H739" s="3" t="s">
        <v>17</v>
      </c>
      <c r="I739" s="3" t="s">
        <v>20</v>
      </c>
      <c r="M739">
        <f t="shared" si="46"/>
        <v>0</v>
      </c>
      <c r="N739">
        <f t="shared" si="47"/>
        <v>0</v>
      </c>
      <c r="O739" t="str">
        <f t="shared" si="48"/>
        <v>Detractor</v>
      </c>
    </row>
    <row r="740" spans="1:15" ht="14.25" customHeight="1" x14ac:dyDescent="0.3">
      <c r="A740" s="3" t="s">
        <v>759</v>
      </c>
      <c r="B740" s="3" t="s">
        <v>1023</v>
      </c>
      <c r="C740" s="3" t="s">
        <v>24</v>
      </c>
      <c r="D740" s="13">
        <v>45945</v>
      </c>
      <c r="E740" s="13">
        <v>45946</v>
      </c>
      <c r="F740" s="13">
        <v>45950</v>
      </c>
      <c r="G740" s="13">
        <v>45956</v>
      </c>
      <c r="H740" s="3" t="s">
        <v>13</v>
      </c>
      <c r="J740" s="4">
        <v>45967</v>
      </c>
      <c r="K740" s="3">
        <v>7</v>
      </c>
      <c r="L740" s="18">
        <f t="shared" si="45"/>
        <v>1</v>
      </c>
      <c r="M740">
        <f t="shared" si="46"/>
        <v>4</v>
      </c>
      <c r="N740">
        <f t="shared" si="47"/>
        <v>6</v>
      </c>
      <c r="O740" t="str">
        <f t="shared" si="48"/>
        <v>Passive</v>
      </c>
    </row>
    <row r="741" spans="1:15" ht="14.25" customHeight="1" x14ac:dyDescent="0.3">
      <c r="A741" s="3" t="s">
        <v>760</v>
      </c>
      <c r="B741" s="3" t="s">
        <v>1024</v>
      </c>
      <c r="C741" s="3" t="s">
        <v>24</v>
      </c>
      <c r="D741" s="13">
        <v>45961</v>
      </c>
      <c r="E741" s="13">
        <v>45964</v>
      </c>
      <c r="F741" s="13">
        <v>45965</v>
      </c>
      <c r="G741" s="13">
        <v>45970</v>
      </c>
      <c r="H741" s="3" t="s">
        <v>13</v>
      </c>
      <c r="J741" s="4">
        <v>45997</v>
      </c>
      <c r="K741" s="3">
        <v>7</v>
      </c>
      <c r="L741" s="18">
        <f t="shared" si="45"/>
        <v>3</v>
      </c>
      <c r="M741">
        <f t="shared" si="46"/>
        <v>1</v>
      </c>
      <c r="N741">
        <f t="shared" si="47"/>
        <v>5</v>
      </c>
      <c r="O741" t="str">
        <f t="shared" si="48"/>
        <v>Passive</v>
      </c>
    </row>
    <row r="742" spans="1:15" ht="14.25" customHeight="1" x14ac:dyDescent="0.3">
      <c r="A742" s="3" t="s">
        <v>761</v>
      </c>
      <c r="B742" s="3" t="s">
        <v>1024</v>
      </c>
      <c r="C742" s="3" t="s">
        <v>12</v>
      </c>
      <c r="D742" s="13">
        <v>45933</v>
      </c>
      <c r="E742" s="13">
        <v>45938</v>
      </c>
      <c r="F742" s="13">
        <v>45943</v>
      </c>
      <c r="G742" s="13">
        <v>45950</v>
      </c>
      <c r="H742" s="3" t="s">
        <v>13</v>
      </c>
      <c r="J742" s="4">
        <v>45966</v>
      </c>
      <c r="K742" s="3">
        <v>1</v>
      </c>
      <c r="L742" s="18">
        <f t="shared" si="45"/>
        <v>5</v>
      </c>
      <c r="M742">
        <f t="shared" si="46"/>
        <v>5</v>
      </c>
      <c r="N742">
        <f t="shared" si="47"/>
        <v>7</v>
      </c>
      <c r="O742" t="str">
        <f t="shared" si="48"/>
        <v>Detractor</v>
      </c>
    </row>
    <row r="743" spans="1:15" ht="14.25" customHeight="1" x14ac:dyDescent="0.3">
      <c r="A743" s="3" t="s">
        <v>762</v>
      </c>
      <c r="B743" s="3" t="s">
        <v>1022</v>
      </c>
      <c r="C743" s="3" t="s">
        <v>12</v>
      </c>
      <c r="D743" s="13">
        <v>45935</v>
      </c>
      <c r="E743" s="13">
        <v>45940</v>
      </c>
      <c r="F743" s="13">
        <v>45943</v>
      </c>
      <c r="G743" s="13">
        <v>45947</v>
      </c>
      <c r="H743" s="3" t="s">
        <v>13</v>
      </c>
      <c r="J743" s="4">
        <v>45968</v>
      </c>
      <c r="K743" s="3">
        <v>2</v>
      </c>
      <c r="L743" s="18">
        <f t="shared" si="45"/>
        <v>5</v>
      </c>
      <c r="M743">
        <f t="shared" si="46"/>
        <v>3</v>
      </c>
      <c r="N743">
        <f t="shared" si="47"/>
        <v>4</v>
      </c>
      <c r="O743" t="str">
        <f t="shared" si="48"/>
        <v>Detractor</v>
      </c>
    </row>
    <row r="744" spans="1:15" ht="14.25" customHeight="1" x14ac:dyDescent="0.3">
      <c r="A744" s="3" t="s">
        <v>763</v>
      </c>
      <c r="B744" s="3" t="s">
        <v>1023</v>
      </c>
      <c r="C744" s="3" t="s">
        <v>12</v>
      </c>
      <c r="D744" s="13">
        <v>45955</v>
      </c>
      <c r="E744" s="13">
        <v>45958</v>
      </c>
      <c r="F744" s="13">
        <v>45960</v>
      </c>
      <c r="G744" s="13">
        <v>45965</v>
      </c>
      <c r="H744" s="3" t="s">
        <v>13</v>
      </c>
      <c r="J744" s="4">
        <v>45975</v>
      </c>
      <c r="K744" s="3">
        <v>2</v>
      </c>
      <c r="L744" s="18">
        <f t="shared" si="45"/>
        <v>3</v>
      </c>
      <c r="M744">
        <f t="shared" si="46"/>
        <v>2</v>
      </c>
      <c r="N744">
        <f t="shared" si="47"/>
        <v>5</v>
      </c>
      <c r="O744" t="str">
        <f t="shared" si="48"/>
        <v>Detractor</v>
      </c>
    </row>
    <row r="745" spans="1:15" ht="14.25" customHeight="1" x14ac:dyDescent="0.3">
      <c r="A745" s="3" t="s">
        <v>764</v>
      </c>
      <c r="B745" s="3" t="s">
        <v>1021</v>
      </c>
      <c r="C745" s="3" t="s">
        <v>12</v>
      </c>
      <c r="D745" s="13">
        <v>45961</v>
      </c>
      <c r="E745" s="13">
        <v>45965</v>
      </c>
      <c r="F745" s="13">
        <v>45966</v>
      </c>
      <c r="G745" s="13">
        <v>45973</v>
      </c>
      <c r="H745" s="3" t="s">
        <v>13</v>
      </c>
      <c r="J745" s="4">
        <v>45993</v>
      </c>
      <c r="K745" s="3">
        <v>1</v>
      </c>
      <c r="L745" s="18">
        <f t="shared" si="45"/>
        <v>4</v>
      </c>
      <c r="M745">
        <f t="shared" si="46"/>
        <v>1</v>
      </c>
      <c r="N745">
        <f t="shared" si="47"/>
        <v>7</v>
      </c>
      <c r="O745" t="str">
        <f t="shared" si="48"/>
        <v>Detractor</v>
      </c>
    </row>
    <row r="746" spans="1:15" ht="14.25" customHeight="1" x14ac:dyDescent="0.3">
      <c r="A746" s="3" t="s">
        <v>765</v>
      </c>
      <c r="B746" s="3" t="s">
        <v>1024</v>
      </c>
      <c r="C746" s="3" t="s">
        <v>24</v>
      </c>
      <c r="D746" s="13">
        <v>45938</v>
      </c>
      <c r="E746" s="13">
        <v>45943</v>
      </c>
      <c r="F746" s="13">
        <v>45944</v>
      </c>
      <c r="G746" s="13">
        <v>45946</v>
      </c>
      <c r="H746" s="3" t="s">
        <v>13</v>
      </c>
      <c r="J746" s="4">
        <v>45972</v>
      </c>
      <c r="K746" s="3">
        <v>5</v>
      </c>
      <c r="L746" s="18">
        <f t="shared" si="45"/>
        <v>5</v>
      </c>
      <c r="M746">
        <f t="shared" si="46"/>
        <v>1</v>
      </c>
      <c r="N746">
        <f t="shared" si="47"/>
        <v>2</v>
      </c>
      <c r="O746" t="str">
        <f t="shared" si="48"/>
        <v>Detractor</v>
      </c>
    </row>
    <row r="747" spans="1:15" ht="14.25" customHeight="1" x14ac:dyDescent="0.3">
      <c r="A747" s="3" t="s">
        <v>766</v>
      </c>
      <c r="B747" s="3" t="s">
        <v>1021</v>
      </c>
      <c r="C747" s="3" t="s">
        <v>12</v>
      </c>
      <c r="D747" s="13">
        <v>45958</v>
      </c>
      <c r="E747" s="13">
        <v>45960</v>
      </c>
      <c r="F747" s="13">
        <v>45963</v>
      </c>
      <c r="G747" s="13">
        <v>45969</v>
      </c>
      <c r="H747" s="3" t="s">
        <v>13</v>
      </c>
      <c r="J747" s="4">
        <v>45985</v>
      </c>
      <c r="K747" s="3">
        <v>9</v>
      </c>
      <c r="L747" s="18">
        <f t="shared" si="45"/>
        <v>2</v>
      </c>
      <c r="M747">
        <f t="shared" si="46"/>
        <v>3</v>
      </c>
      <c r="N747">
        <f t="shared" si="47"/>
        <v>6</v>
      </c>
      <c r="O747" t="str">
        <f t="shared" si="48"/>
        <v>Promoter</v>
      </c>
    </row>
    <row r="748" spans="1:15" ht="14.25" customHeight="1" x14ac:dyDescent="0.3">
      <c r="A748" s="3" t="s">
        <v>767</v>
      </c>
      <c r="B748" s="3" t="s">
        <v>1021</v>
      </c>
      <c r="C748" s="3" t="s">
        <v>12</v>
      </c>
      <c r="D748" s="13">
        <v>45952</v>
      </c>
      <c r="E748" s="13">
        <v>45957</v>
      </c>
      <c r="F748" s="13">
        <v>45959</v>
      </c>
      <c r="G748" s="13">
        <v>45961</v>
      </c>
      <c r="H748" s="3" t="s">
        <v>17</v>
      </c>
      <c r="I748" s="3" t="s">
        <v>94</v>
      </c>
      <c r="L748" s="18">
        <f t="shared" si="45"/>
        <v>5</v>
      </c>
      <c r="M748">
        <f t="shared" si="46"/>
        <v>2</v>
      </c>
      <c r="N748">
        <f t="shared" si="47"/>
        <v>2</v>
      </c>
      <c r="O748" t="str">
        <f t="shared" si="48"/>
        <v>Detractor</v>
      </c>
    </row>
    <row r="749" spans="1:15" ht="14.25" customHeight="1" x14ac:dyDescent="0.3">
      <c r="A749" s="3" t="s">
        <v>768</v>
      </c>
      <c r="B749" s="3" t="s">
        <v>1023</v>
      </c>
      <c r="C749" s="3" t="s">
        <v>16</v>
      </c>
      <c r="D749" s="13">
        <v>45954</v>
      </c>
      <c r="H749" s="3" t="s">
        <v>17</v>
      </c>
      <c r="I749" s="3" t="s">
        <v>56</v>
      </c>
      <c r="M749">
        <f t="shared" si="46"/>
        <v>0</v>
      </c>
      <c r="N749">
        <f t="shared" si="47"/>
        <v>0</v>
      </c>
      <c r="O749" t="str">
        <f t="shared" si="48"/>
        <v>Detractor</v>
      </c>
    </row>
    <row r="750" spans="1:15" ht="14.25" customHeight="1" x14ac:dyDescent="0.3">
      <c r="A750" s="3" t="s">
        <v>769</v>
      </c>
      <c r="B750" s="3" t="s">
        <v>1023</v>
      </c>
      <c r="C750" s="3" t="s">
        <v>12</v>
      </c>
      <c r="D750" s="13">
        <v>45952</v>
      </c>
      <c r="E750" s="13">
        <v>45953</v>
      </c>
      <c r="F750" s="13">
        <v>45957</v>
      </c>
      <c r="G750" s="13">
        <v>45963</v>
      </c>
      <c r="H750" s="3" t="s">
        <v>13</v>
      </c>
      <c r="J750" s="4">
        <v>45973</v>
      </c>
      <c r="K750" s="3">
        <v>7</v>
      </c>
      <c r="L750" s="18">
        <f t="shared" si="45"/>
        <v>1</v>
      </c>
      <c r="M750">
        <f t="shared" si="46"/>
        <v>4</v>
      </c>
      <c r="N750">
        <f t="shared" si="47"/>
        <v>6</v>
      </c>
      <c r="O750" t="str">
        <f t="shared" si="48"/>
        <v>Passive</v>
      </c>
    </row>
    <row r="751" spans="1:15" ht="14.25" customHeight="1" x14ac:dyDescent="0.3">
      <c r="A751" s="3" t="s">
        <v>770</v>
      </c>
      <c r="B751" s="3" t="s">
        <v>1024</v>
      </c>
      <c r="C751" s="3" t="s">
        <v>24</v>
      </c>
      <c r="D751" s="13">
        <v>45943</v>
      </c>
      <c r="E751" s="13">
        <v>45944</v>
      </c>
      <c r="F751" s="13">
        <v>45946</v>
      </c>
      <c r="G751" s="13">
        <v>45949</v>
      </c>
      <c r="H751" s="3" t="s">
        <v>13</v>
      </c>
      <c r="J751" s="4">
        <v>45959</v>
      </c>
      <c r="K751" s="3">
        <v>0</v>
      </c>
      <c r="L751" s="18">
        <f t="shared" si="45"/>
        <v>1</v>
      </c>
      <c r="M751">
        <f t="shared" si="46"/>
        <v>2</v>
      </c>
      <c r="N751">
        <f t="shared" si="47"/>
        <v>3</v>
      </c>
      <c r="O751" t="str">
        <f t="shared" si="48"/>
        <v>Detractor</v>
      </c>
    </row>
    <row r="752" spans="1:15" ht="14.25" customHeight="1" x14ac:dyDescent="0.3">
      <c r="A752" s="3" t="s">
        <v>771</v>
      </c>
      <c r="B752" s="3" t="s">
        <v>1023</v>
      </c>
      <c r="C752" s="3" t="s">
        <v>24</v>
      </c>
      <c r="D752" s="13">
        <v>45961</v>
      </c>
      <c r="E752" s="13">
        <v>45964</v>
      </c>
      <c r="F752" s="13">
        <v>45968</v>
      </c>
      <c r="G752" s="13">
        <v>45975</v>
      </c>
      <c r="H752" s="3" t="s">
        <v>13</v>
      </c>
      <c r="J752" s="4">
        <v>46005</v>
      </c>
      <c r="K752" s="3">
        <v>7</v>
      </c>
      <c r="L752" s="18">
        <f t="shared" si="45"/>
        <v>3</v>
      </c>
      <c r="M752">
        <f t="shared" si="46"/>
        <v>4</v>
      </c>
      <c r="N752">
        <f t="shared" si="47"/>
        <v>7</v>
      </c>
      <c r="O752" t="str">
        <f t="shared" si="48"/>
        <v>Passive</v>
      </c>
    </row>
    <row r="753" spans="1:15" ht="14.25" customHeight="1" x14ac:dyDescent="0.3">
      <c r="A753" s="3" t="s">
        <v>772</v>
      </c>
      <c r="B753" s="3" t="s">
        <v>1023</v>
      </c>
      <c r="C753" s="3" t="s">
        <v>24</v>
      </c>
      <c r="D753" s="13">
        <v>45958</v>
      </c>
      <c r="E753" s="13">
        <v>45962</v>
      </c>
      <c r="F753" s="13">
        <v>45965</v>
      </c>
      <c r="G753" s="13">
        <v>45970</v>
      </c>
      <c r="H753" s="3" t="s">
        <v>13</v>
      </c>
      <c r="J753" s="4">
        <v>45987</v>
      </c>
      <c r="K753" s="3">
        <v>4</v>
      </c>
      <c r="L753" s="18">
        <f t="shared" si="45"/>
        <v>4</v>
      </c>
      <c r="M753">
        <f t="shared" si="46"/>
        <v>3</v>
      </c>
      <c r="N753">
        <f t="shared" si="47"/>
        <v>5</v>
      </c>
      <c r="O753" t="str">
        <f t="shared" si="48"/>
        <v>Detractor</v>
      </c>
    </row>
    <row r="754" spans="1:15" ht="14.25" customHeight="1" x14ac:dyDescent="0.3">
      <c r="A754" s="3" t="s">
        <v>773</v>
      </c>
      <c r="B754" s="3" t="s">
        <v>1023</v>
      </c>
      <c r="C754" s="3" t="s">
        <v>12</v>
      </c>
      <c r="D754" s="13">
        <v>45956</v>
      </c>
      <c r="E754" s="13">
        <v>45960</v>
      </c>
      <c r="F754" s="13">
        <v>45963</v>
      </c>
      <c r="G754" s="13">
        <v>45965</v>
      </c>
      <c r="H754" s="3" t="s">
        <v>13</v>
      </c>
      <c r="J754" s="4">
        <v>45982</v>
      </c>
      <c r="K754" s="3">
        <v>4</v>
      </c>
      <c r="L754" s="18">
        <f t="shared" si="45"/>
        <v>4</v>
      </c>
      <c r="M754">
        <f t="shared" si="46"/>
        <v>3</v>
      </c>
      <c r="N754">
        <f t="shared" si="47"/>
        <v>2</v>
      </c>
      <c r="O754" t="str">
        <f t="shared" si="48"/>
        <v>Detractor</v>
      </c>
    </row>
    <row r="755" spans="1:15" ht="14.25" customHeight="1" x14ac:dyDescent="0.3">
      <c r="A755" s="3" t="s">
        <v>774</v>
      </c>
      <c r="B755" s="3" t="s">
        <v>1021</v>
      </c>
      <c r="C755" s="3" t="s">
        <v>24</v>
      </c>
      <c r="D755" s="13">
        <v>45948</v>
      </c>
      <c r="E755" s="13">
        <v>45953</v>
      </c>
      <c r="F755" s="13">
        <v>45954</v>
      </c>
      <c r="G755" s="13">
        <v>45960</v>
      </c>
      <c r="H755" s="3" t="s">
        <v>13</v>
      </c>
      <c r="J755" s="4">
        <v>45981</v>
      </c>
      <c r="K755" s="3">
        <v>9</v>
      </c>
      <c r="L755" s="18">
        <f t="shared" si="45"/>
        <v>5</v>
      </c>
      <c r="M755">
        <f t="shared" si="46"/>
        <v>1</v>
      </c>
      <c r="N755">
        <f t="shared" si="47"/>
        <v>6</v>
      </c>
      <c r="O755" t="str">
        <f t="shared" si="48"/>
        <v>Promoter</v>
      </c>
    </row>
    <row r="756" spans="1:15" ht="14.25" customHeight="1" x14ac:dyDescent="0.3">
      <c r="A756" s="3" t="s">
        <v>775</v>
      </c>
      <c r="B756" s="3" t="s">
        <v>1024</v>
      </c>
      <c r="C756" s="3" t="s">
        <v>12</v>
      </c>
      <c r="D756" s="13">
        <v>45942</v>
      </c>
      <c r="E756" s="13">
        <v>45946</v>
      </c>
      <c r="F756" s="13">
        <v>45947</v>
      </c>
      <c r="G756" s="13">
        <v>45953</v>
      </c>
      <c r="H756" s="3" t="s">
        <v>13</v>
      </c>
      <c r="J756" s="4">
        <v>45972</v>
      </c>
      <c r="K756" s="3">
        <v>6</v>
      </c>
      <c r="L756" s="18">
        <f t="shared" si="45"/>
        <v>4</v>
      </c>
      <c r="M756">
        <f t="shared" si="46"/>
        <v>1</v>
      </c>
      <c r="N756">
        <f t="shared" si="47"/>
        <v>6</v>
      </c>
      <c r="O756" t="str">
        <f t="shared" si="48"/>
        <v>Detractor</v>
      </c>
    </row>
    <row r="757" spans="1:15" ht="14.25" customHeight="1" x14ac:dyDescent="0.3">
      <c r="A757" s="3" t="s">
        <v>776</v>
      </c>
      <c r="B757" s="3" t="s">
        <v>1022</v>
      </c>
      <c r="C757" s="3" t="s">
        <v>12</v>
      </c>
      <c r="D757" s="13">
        <v>45933</v>
      </c>
      <c r="E757" s="13">
        <v>45937</v>
      </c>
      <c r="F757" s="13">
        <v>45938</v>
      </c>
      <c r="G757" s="13">
        <v>45940</v>
      </c>
      <c r="H757" s="3" t="s">
        <v>13</v>
      </c>
      <c r="J757" s="4">
        <v>45954</v>
      </c>
      <c r="K757" s="3">
        <v>5</v>
      </c>
      <c r="L757" s="18">
        <f t="shared" si="45"/>
        <v>4</v>
      </c>
      <c r="M757">
        <f t="shared" si="46"/>
        <v>1</v>
      </c>
      <c r="N757">
        <f t="shared" si="47"/>
        <v>2</v>
      </c>
      <c r="O757" t="str">
        <f t="shared" si="48"/>
        <v>Detractor</v>
      </c>
    </row>
    <row r="758" spans="1:15" ht="14.25" customHeight="1" x14ac:dyDescent="0.3">
      <c r="A758" s="3" t="s">
        <v>777</v>
      </c>
      <c r="B758" s="3" t="s">
        <v>1021</v>
      </c>
      <c r="C758" s="3" t="s">
        <v>24</v>
      </c>
      <c r="D758" s="13">
        <v>45956</v>
      </c>
      <c r="E758" s="13">
        <v>45961</v>
      </c>
      <c r="F758" s="13">
        <v>45964</v>
      </c>
      <c r="G758" s="13">
        <v>45969</v>
      </c>
      <c r="H758" s="3" t="s">
        <v>13</v>
      </c>
      <c r="J758" s="4">
        <v>45982</v>
      </c>
      <c r="K758" s="3">
        <v>7</v>
      </c>
      <c r="L758" s="18">
        <f t="shared" si="45"/>
        <v>5</v>
      </c>
      <c r="M758">
        <f t="shared" si="46"/>
        <v>3</v>
      </c>
      <c r="N758">
        <f t="shared" si="47"/>
        <v>5</v>
      </c>
      <c r="O758" t="str">
        <f t="shared" si="48"/>
        <v>Passive</v>
      </c>
    </row>
    <row r="759" spans="1:15" ht="14.25" customHeight="1" x14ac:dyDescent="0.3">
      <c r="A759" s="3" t="s">
        <v>778</v>
      </c>
      <c r="B759" s="3" t="s">
        <v>1023</v>
      </c>
      <c r="C759" s="3" t="s">
        <v>24</v>
      </c>
      <c r="D759" s="13">
        <v>45943</v>
      </c>
      <c r="E759" s="13">
        <v>45944</v>
      </c>
      <c r="F759" s="13">
        <v>45948</v>
      </c>
      <c r="G759" s="13">
        <v>45955</v>
      </c>
      <c r="H759" s="3" t="s">
        <v>13</v>
      </c>
      <c r="J759" s="4">
        <v>45977</v>
      </c>
      <c r="K759" s="3">
        <v>6</v>
      </c>
      <c r="L759" s="18">
        <f t="shared" si="45"/>
        <v>1</v>
      </c>
      <c r="M759">
        <f t="shared" si="46"/>
        <v>4</v>
      </c>
      <c r="N759">
        <f t="shared" si="47"/>
        <v>7</v>
      </c>
      <c r="O759" t="str">
        <f t="shared" si="48"/>
        <v>Detractor</v>
      </c>
    </row>
    <row r="760" spans="1:15" ht="14.25" customHeight="1" x14ac:dyDescent="0.3">
      <c r="A760" s="3" t="s">
        <v>779</v>
      </c>
      <c r="B760" s="3" t="s">
        <v>1021</v>
      </c>
      <c r="C760" s="3" t="s">
        <v>24</v>
      </c>
      <c r="D760" s="13">
        <v>45931</v>
      </c>
      <c r="E760" s="13">
        <v>45933</v>
      </c>
      <c r="F760" s="13">
        <v>45936</v>
      </c>
      <c r="G760" s="13">
        <v>45939</v>
      </c>
      <c r="H760" s="3" t="s">
        <v>13</v>
      </c>
      <c r="J760" s="4">
        <v>45965</v>
      </c>
      <c r="K760" s="3">
        <v>6</v>
      </c>
      <c r="L760" s="18">
        <f t="shared" si="45"/>
        <v>2</v>
      </c>
      <c r="M760">
        <f t="shared" si="46"/>
        <v>3</v>
      </c>
      <c r="N760">
        <f t="shared" si="47"/>
        <v>3</v>
      </c>
      <c r="O760" t="str">
        <f t="shared" si="48"/>
        <v>Detractor</v>
      </c>
    </row>
    <row r="761" spans="1:15" ht="14.25" customHeight="1" x14ac:dyDescent="0.3">
      <c r="A761" s="3" t="s">
        <v>780</v>
      </c>
      <c r="B761" s="3" t="s">
        <v>1023</v>
      </c>
      <c r="C761" s="3" t="s">
        <v>16</v>
      </c>
      <c r="D761" s="13">
        <v>45939</v>
      </c>
      <c r="H761" s="3" t="s">
        <v>17</v>
      </c>
      <c r="I761" s="3" t="s">
        <v>56</v>
      </c>
      <c r="M761">
        <f t="shared" si="46"/>
        <v>0</v>
      </c>
      <c r="N761">
        <f t="shared" si="47"/>
        <v>0</v>
      </c>
      <c r="O761" t="str">
        <f t="shared" si="48"/>
        <v>Detractor</v>
      </c>
    </row>
    <row r="762" spans="1:15" ht="14.25" customHeight="1" x14ac:dyDescent="0.3">
      <c r="A762" s="3" t="s">
        <v>781</v>
      </c>
      <c r="B762" s="3" t="s">
        <v>1023</v>
      </c>
      <c r="C762" s="3" t="s">
        <v>24</v>
      </c>
      <c r="D762" s="13">
        <v>45948</v>
      </c>
      <c r="E762" s="13">
        <v>45951</v>
      </c>
      <c r="F762" s="13">
        <v>45954</v>
      </c>
      <c r="G762" s="13">
        <v>45957</v>
      </c>
      <c r="H762" s="3" t="s">
        <v>13</v>
      </c>
      <c r="J762" s="4">
        <v>45985</v>
      </c>
      <c r="K762" s="3">
        <v>2</v>
      </c>
      <c r="L762" s="18">
        <f t="shared" si="45"/>
        <v>3</v>
      </c>
      <c r="M762">
        <f t="shared" si="46"/>
        <v>3</v>
      </c>
      <c r="N762">
        <f t="shared" si="47"/>
        <v>3</v>
      </c>
      <c r="O762" t="str">
        <f t="shared" si="48"/>
        <v>Detractor</v>
      </c>
    </row>
    <row r="763" spans="1:15" ht="14.25" customHeight="1" x14ac:dyDescent="0.3">
      <c r="A763" s="3" t="s">
        <v>782</v>
      </c>
      <c r="B763" s="3" t="s">
        <v>1021</v>
      </c>
      <c r="C763" s="3" t="s">
        <v>12</v>
      </c>
      <c r="D763" s="13">
        <v>45934</v>
      </c>
      <c r="E763" s="13">
        <v>45935</v>
      </c>
      <c r="F763" s="13">
        <v>45936</v>
      </c>
      <c r="G763" s="13">
        <v>45940</v>
      </c>
      <c r="H763" s="3" t="s">
        <v>13</v>
      </c>
      <c r="J763" s="4">
        <v>45959</v>
      </c>
      <c r="K763" s="3">
        <v>8</v>
      </c>
      <c r="L763" s="18">
        <f t="shared" si="45"/>
        <v>1</v>
      </c>
      <c r="M763">
        <f t="shared" si="46"/>
        <v>1</v>
      </c>
      <c r="N763">
        <f t="shared" si="47"/>
        <v>4</v>
      </c>
      <c r="O763" t="str">
        <f t="shared" si="48"/>
        <v>Passive</v>
      </c>
    </row>
    <row r="764" spans="1:15" ht="14.25" customHeight="1" x14ac:dyDescent="0.3">
      <c r="A764" s="3" t="s">
        <v>783</v>
      </c>
      <c r="B764" s="3" t="s">
        <v>1024</v>
      </c>
      <c r="C764" s="3" t="s">
        <v>16</v>
      </c>
      <c r="D764" s="13">
        <v>45945</v>
      </c>
      <c r="H764" s="3" t="s">
        <v>17</v>
      </c>
      <c r="I764" s="3" t="s">
        <v>26</v>
      </c>
      <c r="M764">
        <f t="shared" si="46"/>
        <v>0</v>
      </c>
      <c r="N764">
        <f t="shared" si="47"/>
        <v>0</v>
      </c>
      <c r="O764" t="str">
        <f t="shared" si="48"/>
        <v>Detractor</v>
      </c>
    </row>
    <row r="765" spans="1:15" ht="14.25" customHeight="1" x14ac:dyDescent="0.3">
      <c r="A765" s="3" t="s">
        <v>784</v>
      </c>
      <c r="B765" s="3" t="s">
        <v>1023</v>
      </c>
      <c r="C765" s="3" t="s">
        <v>12</v>
      </c>
      <c r="D765" s="13">
        <v>45942</v>
      </c>
      <c r="E765" s="13">
        <v>45946</v>
      </c>
      <c r="F765" s="13">
        <v>45948</v>
      </c>
      <c r="G765" s="13">
        <v>45952</v>
      </c>
      <c r="H765" s="3" t="s">
        <v>17</v>
      </c>
      <c r="I765" s="3" t="s">
        <v>56</v>
      </c>
      <c r="L765" s="18">
        <f t="shared" si="45"/>
        <v>4</v>
      </c>
      <c r="M765">
        <f t="shared" si="46"/>
        <v>2</v>
      </c>
      <c r="N765">
        <f t="shared" si="47"/>
        <v>4</v>
      </c>
      <c r="O765" t="str">
        <f t="shared" si="48"/>
        <v>Detractor</v>
      </c>
    </row>
    <row r="766" spans="1:15" ht="14.25" customHeight="1" x14ac:dyDescent="0.3">
      <c r="A766" s="3" t="s">
        <v>785</v>
      </c>
      <c r="B766" s="3" t="s">
        <v>1024</v>
      </c>
      <c r="C766" s="3" t="s">
        <v>16</v>
      </c>
      <c r="D766" s="13">
        <v>45952</v>
      </c>
      <c r="H766" s="3" t="s">
        <v>17</v>
      </c>
      <c r="I766" s="3" t="s">
        <v>20</v>
      </c>
      <c r="M766">
        <f t="shared" si="46"/>
        <v>0</v>
      </c>
      <c r="N766">
        <f t="shared" si="47"/>
        <v>0</v>
      </c>
      <c r="O766" t="str">
        <f t="shared" si="48"/>
        <v>Detractor</v>
      </c>
    </row>
    <row r="767" spans="1:15" ht="14.25" customHeight="1" x14ac:dyDescent="0.3">
      <c r="A767" s="3" t="s">
        <v>786</v>
      </c>
      <c r="B767" s="3" t="s">
        <v>1022</v>
      </c>
      <c r="C767" s="3" t="s">
        <v>12</v>
      </c>
      <c r="D767" s="13">
        <v>45954</v>
      </c>
      <c r="E767" s="13">
        <v>45958</v>
      </c>
      <c r="F767" s="13">
        <v>45959</v>
      </c>
      <c r="G767" s="13">
        <v>45963</v>
      </c>
      <c r="H767" s="3" t="s">
        <v>13</v>
      </c>
      <c r="J767" s="4">
        <v>45978</v>
      </c>
      <c r="K767" s="3">
        <v>1</v>
      </c>
      <c r="L767" s="18">
        <f t="shared" si="45"/>
        <v>4</v>
      </c>
      <c r="M767">
        <f t="shared" si="46"/>
        <v>1</v>
      </c>
      <c r="N767">
        <f t="shared" si="47"/>
        <v>4</v>
      </c>
      <c r="O767" t="str">
        <f t="shared" si="48"/>
        <v>Detractor</v>
      </c>
    </row>
    <row r="768" spans="1:15" ht="14.25" customHeight="1" x14ac:dyDescent="0.3">
      <c r="A768" s="3" t="s">
        <v>787</v>
      </c>
      <c r="B768" s="3" t="s">
        <v>1023</v>
      </c>
      <c r="C768" s="3" t="s">
        <v>16</v>
      </c>
      <c r="D768" s="13">
        <v>45952</v>
      </c>
      <c r="H768" s="3" t="s">
        <v>17</v>
      </c>
      <c r="I768" s="3" t="s">
        <v>94</v>
      </c>
      <c r="M768">
        <f t="shared" si="46"/>
        <v>0</v>
      </c>
      <c r="N768">
        <f t="shared" si="47"/>
        <v>0</v>
      </c>
      <c r="O768" t="str">
        <f t="shared" si="48"/>
        <v>Detractor</v>
      </c>
    </row>
    <row r="769" spans="1:15" ht="14.25" customHeight="1" x14ac:dyDescent="0.3">
      <c r="A769" s="3" t="s">
        <v>788</v>
      </c>
      <c r="B769" s="3" t="s">
        <v>1024</v>
      </c>
      <c r="C769" s="3" t="s">
        <v>24</v>
      </c>
      <c r="D769" s="13">
        <v>45939</v>
      </c>
      <c r="E769" s="13">
        <v>45944</v>
      </c>
      <c r="F769" s="13">
        <v>45946</v>
      </c>
      <c r="G769" s="13">
        <v>45951</v>
      </c>
      <c r="H769" s="3" t="s">
        <v>13</v>
      </c>
      <c r="J769" s="4">
        <v>45963</v>
      </c>
      <c r="K769" s="3">
        <v>0</v>
      </c>
      <c r="L769" s="18">
        <f t="shared" si="45"/>
        <v>5</v>
      </c>
      <c r="M769">
        <f t="shared" si="46"/>
        <v>2</v>
      </c>
      <c r="N769">
        <f t="shared" si="47"/>
        <v>5</v>
      </c>
      <c r="O769" t="str">
        <f t="shared" si="48"/>
        <v>Detractor</v>
      </c>
    </row>
    <row r="770" spans="1:15" ht="14.25" customHeight="1" x14ac:dyDescent="0.3">
      <c r="A770" s="3" t="s">
        <v>789</v>
      </c>
      <c r="B770" s="3" t="s">
        <v>1024</v>
      </c>
      <c r="C770" s="3" t="s">
        <v>24</v>
      </c>
      <c r="D770" s="13">
        <v>45949</v>
      </c>
      <c r="E770" s="13">
        <v>45952</v>
      </c>
      <c r="F770" s="13">
        <v>45956</v>
      </c>
      <c r="G770" s="13">
        <v>45963</v>
      </c>
      <c r="H770" s="3" t="s">
        <v>13</v>
      </c>
      <c r="J770" s="4">
        <v>45974</v>
      </c>
      <c r="K770" s="3">
        <v>4</v>
      </c>
      <c r="L770" s="18">
        <f t="shared" si="45"/>
        <v>3</v>
      </c>
      <c r="M770">
        <f t="shared" si="46"/>
        <v>4</v>
      </c>
      <c r="N770">
        <f t="shared" si="47"/>
        <v>7</v>
      </c>
      <c r="O770" t="str">
        <f t="shared" si="48"/>
        <v>Detractor</v>
      </c>
    </row>
    <row r="771" spans="1:15" ht="14.25" customHeight="1" x14ac:dyDescent="0.3">
      <c r="A771" s="3" t="s">
        <v>790</v>
      </c>
      <c r="B771" s="3" t="s">
        <v>1022</v>
      </c>
      <c r="C771" s="3" t="s">
        <v>12</v>
      </c>
      <c r="D771" s="13">
        <v>45943</v>
      </c>
      <c r="E771" s="13">
        <v>45945</v>
      </c>
      <c r="F771" s="13">
        <v>45949</v>
      </c>
      <c r="G771" s="13">
        <v>45956</v>
      </c>
      <c r="H771" s="3" t="s">
        <v>13</v>
      </c>
      <c r="J771" s="4">
        <v>45975</v>
      </c>
      <c r="K771" s="3">
        <v>0</v>
      </c>
      <c r="L771" s="18">
        <f t="shared" ref="L771:L834" si="49">E771-D771</f>
        <v>2</v>
      </c>
      <c r="M771">
        <f t="shared" ref="M771:M834" si="50">F771-E771</f>
        <v>4</v>
      </c>
      <c r="N771">
        <f t="shared" ref="N771:N834" si="51">G771-F771</f>
        <v>7</v>
      </c>
      <c r="O771" t="str">
        <f t="shared" ref="O771:O834" si="52">IF(K771&gt;=9,"Promoter",IF(K771&lt;=6,"Detractor","Passive"))</f>
        <v>Detractor</v>
      </c>
    </row>
    <row r="772" spans="1:15" ht="14.25" customHeight="1" x14ac:dyDescent="0.3">
      <c r="A772" s="3" t="s">
        <v>791</v>
      </c>
      <c r="B772" s="3" t="s">
        <v>1024</v>
      </c>
      <c r="C772" s="3" t="s">
        <v>16</v>
      </c>
      <c r="D772" s="13">
        <v>45957</v>
      </c>
      <c r="H772" s="3" t="s">
        <v>17</v>
      </c>
      <c r="I772" s="3" t="s">
        <v>20</v>
      </c>
      <c r="M772">
        <f t="shared" si="50"/>
        <v>0</v>
      </c>
      <c r="N772">
        <f t="shared" si="51"/>
        <v>0</v>
      </c>
      <c r="O772" t="str">
        <f t="shared" si="52"/>
        <v>Detractor</v>
      </c>
    </row>
    <row r="773" spans="1:15" ht="14.25" customHeight="1" x14ac:dyDescent="0.3">
      <c r="A773" s="3" t="s">
        <v>792</v>
      </c>
      <c r="B773" s="3" t="s">
        <v>1024</v>
      </c>
      <c r="C773" s="3" t="s">
        <v>16</v>
      </c>
      <c r="D773" s="13">
        <v>45951</v>
      </c>
      <c r="H773" s="3" t="s">
        <v>17</v>
      </c>
      <c r="I773" s="3" t="s">
        <v>18</v>
      </c>
      <c r="M773">
        <f t="shared" si="50"/>
        <v>0</v>
      </c>
      <c r="N773">
        <f t="shared" si="51"/>
        <v>0</v>
      </c>
      <c r="O773" t="str">
        <f t="shared" si="52"/>
        <v>Detractor</v>
      </c>
    </row>
    <row r="774" spans="1:15" ht="14.25" customHeight="1" x14ac:dyDescent="0.3">
      <c r="A774" s="3" t="s">
        <v>793</v>
      </c>
      <c r="B774" s="3" t="s">
        <v>1022</v>
      </c>
      <c r="C774" s="3" t="s">
        <v>24</v>
      </c>
      <c r="D774" s="13">
        <v>45961</v>
      </c>
      <c r="E774" s="13">
        <v>45966</v>
      </c>
      <c r="F774" s="13">
        <v>45971</v>
      </c>
      <c r="G774" s="13">
        <v>45975</v>
      </c>
      <c r="H774" s="3" t="s">
        <v>13</v>
      </c>
      <c r="J774" s="4">
        <v>45994</v>
      </c>
      <c r="K774" s="3">
        <v>4</v>
      </c>
      <c r="L774" s="18">
        <f t="shared" si="49"/>
        <v>5</v>
      </c>
      <c r="M774">
        <f t="shared" si="50"/>
        <v>5</v>
      </c>
      <c r="N774">
        <f t="shared" si="51"/>
        <v>4</v>
      </c>
      <c r="O774" t="str">
        <f t="shared" si="52"/>
        <v>Detractor</v>
      </c>
    </row>
    <row r="775" spans="1:15" ht="14.25" customHeight="1" x14ac:dyDescent="0.3">
      <c r="A775" s="3" t="s">
        <v>794</v>
      </c>
      <c r="B775" s="3" t="s">
        <v>1023</v>
      </c>
      <c r="C775" s="3" t="s">
        <v>24</v>
      </c>
      <c r="D775" s="13">
        <v>45942</v>
      </c>
      <c r="E775" s="13">
        <v>45947</v>
      </c>
      <c r="F775" s="13">
        <v>45952</v>
      </c>
      <c r="G775" s="13">
        <v>45956</v>
      </c>
      <c r="H775" s="3" t="s">
        <v>13</v>
      </c>
      <c r="J775" s="4">
        <v>45980</v>
      </c>
      <c r="K775" s="3">
        <v>1</v>
      </c>
      <c r="L775" s="18">
        <f t="shared" si="49"/>
        <v>5</v>
      </c>
      <c r="M775">
        <f t="shared" si="50"/>
        <v>5</v>
      </c>
      <c r="N775">
        <f t="shared" si="51"/>
        <v>4</v>
      </c>
      <c r="O775" t="str">
        <f t="shared" si="52"/>
        <v>Detractor</v>
      </c>
    </row>
    <row r="776" spans="1:15" ht="14.25" customHeight="1" x14ac:dyDescent="0.3">
      <c r="A776" s="3" t="s">
        <v>795</v>
      </c>
      <c r="B776" s="3" t="s">
        <v>1024</v>
      </c>
      <c r="C776" s="3" t="s">
        <v>16</v>
      </c>
      <c r="D776" s="13">
        <v>45934</v>
      </c>
      <c r="H776" s="3" t="s">
        <v>17</v>
      </c>
      <c r="I776" s="3" t="s">
        <v>26</v>
      </c>
      <c r="M776">
        <f t="shared" si="50"/>
        <v>0</v>
      </c>
      <c r="N776">
        <f t="shared" si="51"/>
        <v>0</v>
      </c>
      <c r="O776" t="str">
        <f t="shared" si="52"/>
        <v>Detractor</v>
      </c>
    </row>
    <row r="777" spans="1:15" ht="14.25" customHeight="1" x14ac:dyDescent="0.3">
      <c r="A777" s="3" t="s">
        <v>796</v>
      </c>
      <c r="B777" s="3" t="s">
        <v>1024</v>
      </c>
      <c r="C777" s="3" t="s">
        <v>24</v>
      </c>
      <c r="D777" s="13">
        <v>45952</v>
      </c>
      <c r="E777" s="13">
        <v>45954</v>
      </c>
      <c r="F777" s="13">
        <v>45959</v>
      </c>
      <c r="G777" s="13">
        <v>45964</v>
      </c>
      <c r="H777" s="3" t="s">
        <v>13</v>
      </c>
      <c r="J777" s="4">
        <v>45990</v>
      </c>
      <c r="K777" s="3">
        <v>10</v>
      </c>
      <c r="L777" s="18">
        <f t="shared" si="49"/>
        <v>2</v>
      </c>
      <c r="M777">
        <f t="shared" si="50"/>
        <v>5</v>
      </c>
      <c r="N777">
        <f t="shared" si="51"/>
        <v>5</v>
      </c>
      <c r="O777" t="str">
        <f t="shared" si="52"/>
        <v>Promoter</v>
      </c>
    </row>
    <row r="778" spans="1:15" ht="14.25" customHeight="1" x14ac:dyDescent="0.3">
      <c r="A778" s="3" t="s">
        <v>797</v>
      </c>
      <c r="B778" s="3" t="s">
        <v>1024</v>
      </c>
      <c r="C778" s="3" t="s">
        <v>12</v>
      </c>
      <c r="D778" s="13">
        <v>45938</v>
      </c>
      <c r="E778" s="13">
        <v>45940</v>
      </c>
      <c r="F778" s="13">
        <v>45944</v>
      </c>
      <c r="G778" s="13">
        <v>45948</v>
      </c>
      <c r="H778" s="3" t="s">
        <v>13</v>
      </c>
      <c r="J778" s="4">
        <v>45977</v>
      </c>
      <c r="K778" s="3">
        <v>1</v>
      </c>
      <c r="L778" s="18">
        <f t="shared" si="49"/>
        <v>2</v>
      </c>
      <c r="M778">
        <f t="shared" si="50"/>
        <v>4</v>
      </c>
      <c r="N778">
        <f t="shared" si="51"/>
        <v>4</v>
      </c>
      <c r="O778" t="str">
        <f t="shared" si="52"/>
        <v>Detractor</v>
      </c>
    </row>
    <row r="779" spans="1:15" ht="14.25" customHeight="1" x14ac:dyDescent="0.3">
      <c r="A779" s="3" t="s">
        <v>798</v>
      </c>
      <c r="B779" s="3" t="s">
        <v>1021</v>
      </c>
      <c r="C779" s="3" t="s">
        <v>16</v>
      </c>
      <c r="D779" s="13">
        <v>45946</v>
      </c>
      <c r="H779" s="3" t="s">
        <v>17</v>
      </c>
      <c r="I779" s="3" t="s">
        <v>56</v>
      </c>
      <c r="M779">
        <f t="shared" si="50"/>
        <v>0</v>
      </c>
      <c r="N779">
        <f t="shared" si="51"/>
        <v>0</v>
      </c>
      <c r="O779" t="str">
        <f t="shared" si="52"/>
        <v>Detractor</v>
      </c>
    </row>
    <row r="780" spans="1:15" ht="14.25" customHeight="1" x14ac:dyDescent="0.3">
      <c r="A780" s="3" t="s">
        <v>799</v>
      </c>
      <c r="B780" s="3" t="s">
        <v>1022</v>
      </c>
      <c r="C780" s="3" t="s">
        <v>12</v>
      </c>
      <c r="D780" s="13">
        <v>45931</v>
      </c>
      <c r="E780" s="13">
        <v>45935</v>
      </c>
      <c r="F780" s="13">
        <v>45936</v>
      </c>
      <c r="G780" s="13">
        <v>45939</v>
      </c>
      <c r="H780" s="3" t="s">
        <v>13</v>
      </c>
      <c r="J780" s="4">
        <v>45965</v>
      </c>
      <c r="K780" s="3">
        <v>3</v>
      </c>
      <c r="L780" s="18">
        <f t="shared" si="49"/>
        <v>4</v>
      </c>
      <c r="M780">
        <f t="shared" si="50"/>
        <v>1</v>
      </c>
      <c r="N780">
        <f t="shared" si="51"/>
        <v>3</v>
      </c>
      <c r="O780" t="str">
        <f t="shared" si="52"/>
        <v>Detractor</v>
      </c>
    </row>
    <row r="781" spans="1:15" ht="14.25" customHeight="1" x14ac:dyDescent="0.3">
      <c r="A781" s="3" t="s">
        <v>800</v>
      </c>
      <c r="B781" s="3" t="s">
        <v>1021</v>
      </c>
      <c r="C781" s="3" t="s">
        <v>12</v>
      </c>
      <c r="D781" s="13">
        <v>45950</v>
      </c>
      <c r="E781" s="13">
        <v>45955</v>
      </c>
      <c r="F781" s="13">
        <v>45956</v>
      </c>
      <c r="G781" s="13">
        <v>45958</v>
      </c>
      <c r="H781" s="3" t="s">
        <v>13</v>
      </c>
      <c r="J781" s="4">
        <v>45978</v>
      </c>
      <c r="K781" s="3">
        <v>2</v>
      </c>
      <c r="L781" s="18">
        <f t="shared" si="49"/>
        <v>5</v>
      </c>
      <c r="M781">
        <f t="shared" si="50"/>
        <v>1</v>
      </c>
      <c r="N781">
        <f t="shared" si="51"/>
        <v>2</v>
      </c>
      <c r="O781" t="str">
        <f t="shared" si="52"/>
        <v>Detractor</v>
      </c>
    </row>
    <row r="782" spans="1:15" ht="14.25" customHeight="1" x14ac:dyDescent="0.3">
      <c r="A782" s="3" t="s">
        <v>801</v>
      </c>
      <c r="B782" s="3" t="s">
        <v>1022</v>
      </c>
      <c r="C782" s="3" t="s">
        <v>12</v>
      </c>
      <c r="D782" s="13">
        <v>45959</v>
      </c>
      <c r="E782" s="13">
        <v>45960</v>
      </c>
      <c r="F782" s="13">
        <v>45961</v>
      </c>
      <c r="G782" s="13">
        <v>45964</v>
      </c>
      <c r="H782" s="3" t="s">
        <v>13</v>
      </c>
      <c r="J782" s="4">
        <v>45987</v>
      </c>
      <c r="K782" s="3">
        <v>2</v>
      </c>
      <c r="L782" s="18">
        <f t="shared" si="49"/>
        <v>1</v>
      </c>
      <c r="M782">
        <f t="shared" si="50"/>
        <v>1</v>
      </c>
      <c r="N782">
        <f t="shared" si="51"/>
        <v>3</v>
      </c>
      <c r="O782" t="str">
        <f t="shared" si="52"/>
        <v>Detractor</v>
      </c>
    </row>
    <row r="783" spans="1:15" ht="14.25" customHeight="1" x14ac:dyDescent="0.3">
      <c r="A783" s="3" t="s">
        <v>802</v>
      </c>
      <c r="B783" s="3" t="s">
        <v>1023</v>
      </c>
      <c r="C783" s="3" t="s">
        <v>24</v>
      </c>
      <c r="D783" s="13">
        <v>45961</v>
      </c>
      <c r="E783" s="13">
        <v>45962</v>
      </c>
      <c r="F783" s="13">
        <v>45965</v>
      </c>
      <c r="G783" s="13">
        <v>45968</v>
      </c>
      <c r="H783" s="3" t="s">
        <v>13</v>
      </c>
      <c r="J783" s="4">
        <v>45982</v>
      </c>
      <c r="K783" s="3">
        <v>4</v>
      </c>
      <c r="L783" s="18">
        <f t="shared" si="49"/>
        <v>1</v>
      </c>
      <c r="M783">
        <f t="shared" si="50"/>
        <v>3</v>
      </c>
      <c r="N783">
        <f t="shared" si="51"/>
        <v>3</v>
      </c>
      <c r="O783" t="str">
        <f t="shared" si="52"/>
        <v>Detractor</v>
      </c>
    </row>
    <row r="784" spans="1:15" ht="14.25" customHeight="1" x14ac:dyDescent="0.3">
      <c r="A784" s="3" t="s">
        <v>803</v>
      </c>
      <c r="B784" s="3" t="s">
        <v>1023</v>
      </c>
      <c r="C784" s="3" t="s">
        <v>16</v>
      </c>
      <c r="D784" s="13">
        <v>45948</v>
      </c>
      <c r="H784" s="3" t="s">
        <v>17</v>
      </c>
      <c r="I784" s="3" t="s">
        <v>18</v>
      </c>
      <c r="M784">
        <f t="shared" si="50"/>
        <v>0</v>
      </c>
      <c r="N784">
        <f t="shared" si="51"/>
        <v>0</v>
      </c>
      <c r="O784" t="str">
        <f t="shared" si="52"/>
        <v>Detractor</v>
      </c>
    </row>
    <row r="785" spans="1:15" ht="14.25" customHeight="1" x14ac:dyDescent="0.3">
      <c r="A785" s="3" t="s">
        <v>804</v>
      </c>
      <c r="B785" s="3" t="s">
        <v>1024</v>
      </c>
      <c r="C785" s="3" t="s">
        <v>12</v>
      </c>
      <c r="D785" s="13">
        <v>45941</v>
      </c>
      <c r="E785" s="13">
        <v>45946</v>
      </c>
      <c r="F785" s="13">
        <v>45951</v>
      </c>
      <c r="G785" s="13">
        <v>45957</v>
      </c>
      <c r="H785" s="3" t="s">
        <v>13</v>
      </c>
      <c r="J785" s="4">
        <v>45977</v>
      </c>
      <c r="K785" s="3">
        <v>9</v>
      </c>
      <c r="L785" s="18">
        <f t="shared" si="49"/>
        <v>5</v>
      </c>
      <c r="M785">
        <f t="shared" si="50"/>
        <v>5</v>
      </c>
      <c r="N785">
        <f t="shared" si="51"/>
        <v>6</v>
      </c>
      <c r="O785" t="str">
        <f t="shared" si="52"/>
        <v>Promoter</v>
      </c>
    </row>
    <row r="786" spans="1:15" ht="14.25" customHeight="1" x14ac:dyDescent="0.3">
      <c r="A786" s="3" t="s">
        <v>805</v>
      </c>
      <c r="B786" s="3" t="s">
        <v>1022</v>
      </c>
      <c r="C786" s="3" t="s">
        <v>16</v>
      </c>
      <c r="D786" s="13">
        <v>45960</v>
      </c>
      <c r="H786" s="3" t="s">
        <v>17</v>
      </c>
      <c r="I786" s="3" t="s">
        <v>56</v>
      </c>
      <c r="M786">
        <f t="shared" si="50"/>
        <v>0</v>
      </c>
      <c r="N786">
        <f t="shared" si="51"/>
        <v>0</v>
      </c>
      <c r="O786" t="str">
        <f t="shared" si="52"/>
        <v>Detractor</v>
      </c>
    </row>
    <row r="787" spans="1:15" ht="14.25" customHeight="1" x14ac:dyDescent="0.3">
      <c r="A787" s="3" t="s">
        <v>806</v>
      </c>
      <c r="B787" s="3" t="s">
        <v>1023</v>
      </c>
      <c r="C787" s="3" t="s">
        <v>24</v>
      </c>
      <c r="D787" s="13">
        <v>45950</v>
      </c>
      <c r="E787" s="13">
        <v>45952</v>
      </c>
      <c r="F787" s="13">
        <v>45953</v>
      </c>
      <c r="G787" s="13">
        <v>45955</v>
      </c>
      <c r="H787" s="3" t="s">
        <v>13</v>
      </c>
      <c r="J787" s="4">
        <v>45980</v>
      </c>
      <c r="K787" s="3">
        <v>7</v>
      </c>
      <c r="L787" s="18">
        <f t="shared" si="49"/>
        <v>2</v>
      </c>
      <c r="M787">
        <f t="shared" si="50"/>
        <v>1</v>
      </c>
      <c r="N787">
        <f t="shared" si="51"/>
        <v>2</v>
      </c>
      <c r="O787" t="str">
        <f t="shared" si="52"/>
        <v>Passive</v>
      </c>
    </row>
    <row r="788" spans="1:15" ht="14.25" customHeight="1" x14ac:dyDescent="0.3">
      <c r="A788" s="3" t="s">
        <v>807</v>
      </c>
      <c r="B788" s="3" t="s">
        <v>1022</v>
      </c>
      <c r="C788" s="3" t="s">
        <v>16</v>
      </c>
      <c r="D788" s="13">
        <v>45938</v>
      </c>
      <c r="H788" s="3" t="s">
        <v>17</v>
      </c>
      <c r="I788" s="3" t="s">
        <v>94</v>
      </c>
      <c r="M788">
        <f t="shared" si="50"/>
        <v>0</v>
      </c>
      <c r="N788">
        <f t="shared" si="51"/>
        <v>0</v>
      </c>
      <c r="O788" t="str">
        <f t="shared" si="52"/>
        <v>Detractor</v>
      </c>
    </row>
    <row r="789" spans="1:15" ht="14.25" customHeight="1" x14ac:dyDescent="0.3">
      <c r="A789" s="3" t="s">
        <v>808</v>
      </c>
      <c r="B789" s="3" t="s">
        <v>1023</v>
      </c>
      <c r="C789" s="3" t="s">
        <v>12</v>
      </c>
      <c r="D789" s="13">
        <v>45951</v>
      </c>
      <c r="E789" s="13">
        <v>45954</v>
      </c>
      <c r="F789" s="13">
        <v>45959</v>
      </c>
      <c r="G789" s="13">
        <v>45962</v>
      </c>
      <c r="H789" s="3" t="s">
        <v>13</v>
      </c>
      <c r="J789" s="4">
        <v>45983</v>
      </c>
      <c r="K789" s="3">
        <v>3</v>
      </c>
      <c r="L789" s="18">
        <f t="shared" si="49"/>
        <v>3</v>
      </c>
      <c r="M789">
        <f t="shared" si="50"/>
        <v>5</v>
      </c>
      <c r="N789">
        <f t="shared" si="51"/>
        <v>3</v>
      </c>
      <c r="O789" t="str">
        <f t="shared" si="52"/>
        <v>Detractor</v>
      </c>
    </row>
    <row r="790" spans="1:15" ht="14.25" customHeight="1" x14ac:dyDescent="0.3">
      <c r="A790" s="3" t="s">
        <v>809</v>
      </c>
      <c r="B790" s="3" t="s">
        <v>1021</v>
      </c>
      <c r="C790" s="3" t="s">
        <v>24</v>
      </c>
      <c r="D790" s="13">
        <v>45933</v>
      </c>
      <c r="E790" s="13">
        <v>45935</v>
      </c>
      <c r="F790" s="13">
        <v>45940</v>
      </c>
      <c r="G790" s="13">
        <v>45942</v>
      </c>
      <c r="H790" s="3" t="s">
        <v>13</v>
      </c>
      <c r="J790" s="4">
        <v>45958</v>
      </c>
      <c r="K790" s="3">
        <v>3</v>
      </c>
      <c r="L790" s="18">
        <f t="shared" si="49"/>
        <v>2</v>
      </c>
      <c r="M790">
        <f t="shared" si="50"/>
        <v>5</v>
      </c>
      <c r="N790">
        <f t="shared" si="51"/>
        <v>2</v>
      </c>
      <c r="O790" t="str">
        <f t="shared" si="52"/>
        <v>Detractor</v>
      </c>
    </row>
    <row r="791" spans="1:15" ht="14.25" customHeight="1" x14ac:dyDescent="0.3">
      <c r="A791" s="3" t="s">
        <v>810</v>
      </c>
      <c r="B791" s="3" t="s">
        <v>1023</v>
      </c>
      <c r="C791" s="3" t="s">
        <v>24</v>
      </c>
      <c r="D791" s="13">
        <v>45951</v>
      </c>
      <c r="E791" s="13">
        <v>45953</v>
      </c>
      <c r="F791" s="13">
        <v>45956</v>
      </c>
      <c r="G791" s="13">
        <v>45959</v>
      </c>
      <c r="H791" s="3" t="s">
        <v>13</v>
      </c>
      <c r="J791" s="4">
        <v>45974</v>
      </c>
      <c r="K791" s="3">
        <v>3</v>
      </c>
      <c r="L791" s="18">
        <f t="shared" si="49"/>
        <v>2</v>
      </c>
      <c r="M791">
        <f t="shared" si="50"/>
        <v>3</v>
      </c>
      <c r="N791">
        <f t="shared" si="51"/>
        <v>3</v>
      </c>
      <c r="O791" t="str">
        <f t="shared" si="52"/>
        <v>Detractor</v>
      </c>
    </row>
    <row r="792" spans="1:15" ht="14.25" customHeight="1" x14ac:dyDescent="0.3">
      <c r="A792" s="3" t="s">
        <v>811</v>
      </c>
      <c r="B792" s="3" t="s">
        <v>1021</v>
      </c>
      <c r="C792" s="3" t="s">
        <v>12</v>
      </c>
      <c r="D792" s="13">
        <v>45957</v>
      </c>
      <c r="E792" s="13">
        <v>45960</v>
      </c>
      <c r="F792" s="13">
        <v>45964</v>
      </c>
      <c r="G792" s="13">
        <v>45969</v>
      </c>
      <c r="H792" s="3" t="s">
        <v>13</v>
      </c>
      <c r="J792" s="4">
        <v>45991</v>
      </c>
      <c r="K792" s="3">
        <v>5</v>
      </c>
      <c r="L792" s="18">
        <f t="shared" si="49"/>
        <v>3</v>
      </c>
      <c r="M792">
        <f t="shared" si="50"/>
        <v>4</v>
      </c>
      <c r="N792">
        <f t="shared" si="51"/>
        <v>5</v>
      </c>
      <c r="O792" t="str">
        <f t="shared" si="52"/>
        <v>Detractor</v>
      </c>
    </row>
    <row r="793" spans="1:15" ht="14.25" customHeight="1" x14ac:dyDescent="0.3">
      <c r="A793" s="3" t="s">
        <v>812</v>
      </c>
      <c r="B793" s="3" t="s">
        <v>1023</v>
      </c>
      <c r="C793" s="3" t="s">
        <v>12</v>
      </c>
      <c r="D793" s="13">
        <v>45945</v>
      </c>
      <c r="E793" s="13">
        <v>45947</v>
      </c>
      <c r="F793" s="13">
        <v>45948</v>
      </c>
      <c r="G793" s="13">
        <v>45953</v>
      </c>
      <c r="H793" s="3" t="s">
        <v>13</v>
      </c>
      <c r="J793" s="4">
        <v>45963</v>
      </c>
      <c r="K793" s="3">
        <v>8</v>
      </c>
      <c r="L793" s="18">
        <f t="shared" si="49"/>
        <v>2</v>
      </c>
      <c r="M793">
        <f t="shared" si="50"/>
        <v>1</v>
      </c>
      <c r="N793">
        <f t="shared" si="51"/>
        <v>5</v>
      </c>
      <c r="O793" t="str">
        <f t="shared" si="52"/>
        <v>Passive</v>
      </c>
    </row>
    <row r="794" spans="1:15" ht="14.25" customHeight="1" x14ac:dyDescent="0.3">
      <c r="A794" s="3" t="s">
        <v>813</v>
      </c>
      <c r="B794" s="3" t="s">
        <v>1024</v>
      </c>
      <c r="C794" s="3" t="s">
        <v>16</v>
      </c>
      <c r="D794" s="13">
        <v>45960</v>
      </c>
      <c r="H794" s="3" t="s">
        <v>17</v>
      </c>
      <c r="I794" s="3" t="s">
        <v>94</v>
      </c>
      <c r="M794">
        <f t="shared" si="50"/>
        <v>0</v>
      </c>
      <c r="N794">
        <f t="shared" si="51"/>
        <v>0</v>
      </c>
      <c r="O794" t="str">
        <f t="shared" si="52"/>
        <v>Detractor</v>
      </c>
    </row>
    <row r="795" spans="1:15" ht="14.25" customHeight="1" x14ac:dyDescent="0.3">
      <c r="A795" s="3" t="s">
        <v>814</v>
      </c>
      <c r="B795" s="3" t="s">
        <v>1021</v>
      </c>
      <c r="C795" s="3" t="s">
        <v>24</v>
      </c>
      <c r="D795" s="13">
        <v>45953</v>
      </c>
      <c r="E795" s="13">
        <v>45956</v>
      </c>
      <c r="F795" s="13">
        <v>45959</v>
      </c>
      <c r="G795" s="13">
        <v>45963</v>
      </c>
      <c r="H795" s="3" t="s">
        <v>13</v>
      </c>
      <c r="J795" s="4">
        <v>45980</v>
      </c>
      <c r="K795" s="3">
        <v>1</v>
      </c>
      <c r="L795" s="18">
        <f t="shared" si="49"/>
        <v>3</v>
      </c>
      <c r="M795">
        <f t="shared" si="50"/>
        <v>3</v>
      </c>
      <c r="N795">
        <f t="shared" si="51"/>
        <v>4</v>
      </c>
      <c r="O795" t="str">
        <f t="shared" si="52"/>
        <v>Detractor</v>
      </c>
    </row>
    <row r="796" spans="1:15" ht="14.25" customHeight="1" x14ac:dyDescent="0.3">
      <c r="A796" s="3" t="s">
        <v>815</v>
      </c>
      <c r="B796" s="3" t="s">
        <v>1023</v>
      </c>
      <c r="C796" s="3" t="s">
        <v>24</v>
      </c>
      <c r="D796" s="13">
        <v>45940</v>
      </c>
      <c r="E796" s="13">
        <v>45945</v>
      </c>
      <c r="F796" s="13">
        <v>45949</v>
      </c>
      <c r="G796" s="13">
        <v>45954</v>
      </c>
      <c r="H796" s="3" t="s">
        <v>13</v>
      </c>
      <c r="J796" s="4">
        <v>45971</v>
      </c>
      <c r="K796" s="3">
        <v>10</v>
      </c>
      <c r="L796" s="18">
        <f t="shared" si="49"/>
        <v>5</v>
      </c>
      <c r="M796">
        <f t="shared" si="50"/>
        <v>4</v>
      </c>
      <c r="N796">
        <f t="shared" si="51"/>
        <v>5</v>
      </c>
      <c r="O796" t="str">
        <f t="shared" si="52"/>
        <v>Promoter</v>
      </c>
    </row>
    <row r="797" spans="1:15" ht="14.25" customHeight="1" x14ac:dyDescent="0.3">
      <c r="A797" s="3" t="s">
        <v>816</v>
      </c>
      <c r="B797" s="3" t="s">
        <v>1024</v>
      </c>
      <c r="C797" s="3" t="s">
        <v>12</v>
      </c>
      <c r="D797" s="13">
        <v>45951</v>
      </c>
      <c r="E797" s="13">
        <v>45954</v>
      </c>
      <c r="F797" s="13">
        <v>45958</v>
      </c>
      <c r="G797" s="13">
        <v>45960</v>
      </c>
      <c r="H797" s="3" t="s">
        <v>13</v>
      </c>
      <c r="J797" s="4">
        <v>45974</v>
      </c>
      <c r="K797" s="3">
        <v>4</v>
      </c>
      <c r="L797" s="18">
        <f t="shared" si="49"/>
        <v>3</v>
      </c>
      <c r="M797">
        <f t="shared" si="50"/>
        <v>4</v>
      </c>
      <c r="N797">
        <f t="shared" si="51"/>
        <v>2</v>
      </c>
      <c r="O797" t="str">
        <f t="shared" si="52"/>
        <v>Detractor</v>
      </c>
    </row>
    <row r="798" spans="1:15" ht="14.25" customHeight="1" x14ac:dyDescent="0.3">
      <c r="A798" s="3" t="s">
        <v>817</v>
      </c>
      <c r="B798" s="3" t="s">
        <v>1021</v>
      </c>
      <c r="C798" s="3" t="s">
        <v>12</v>
      </c>
      <c r="D798" s="13">
        <v>45944</v>
      </c>
      <c r="E798" s="13">
        <v>45945</v>
      </c>
      <c r="F798" s="13">
        <v>45946</v>
      </c>
      <c r="G798" s="13">
        <v>45952</v>
      </c>
      <c r="H798" s="3" t="s">
        <v>13</v>
      </c>
      <c r="J798" s="4">
        <v>45968</v>
      </c>
      <c r="K798" s="3">
        <v>8</v>
      </c>
      <c r="L798" s="18">
        <f t="shared" si="49"/>
        <v>1</v>
      </c>
      <c r="M798">
        <f t="shared" si="50"/>
        <v>1</v>
      </c>
      <c r="N798">
        <f t="shared" si="51"/>
        <v>6</v>
      </c>
      <c r="O798" t="str">
        <f t="shared" si="52"/>
        <v>Passive</v>
      </c>
    </row>
    <row r="799" spans="1:15" ht="14.25" customHeight="1" x14ac:dyDescent="0.3">
      <c r="A799" s="3" t="s">
        <v>818</v>
      </c>
      <c r="B799" s="3" t="s">
        <v>1024</v>
      </c>
      <c r="C799" s="3" t="s">
        <v>12</v>
      </c>
      <c r="D799" s="13">
        <v>45934</v>
      </c>
      <c r="E799" s="13">
        <v>45937</v>
      </c>
      <c r="F799" s="13">
        <v>45942</v>
      </c>
      <c r="G799" s="13">
        <v>45946</v>
      </c>
      <c r="H799" s="3" t="s">
        <v>13</v>
      </c>
      <c r="J799" s="4">
        <v>45956</v>
      </c>
      <c r="K799" s="3">
        <v>7</v>
      </c>
      <c r="L799" s="18">
        <f t="shared" si="49"/>
        <v>3</v>
      </c>
      <c r="M799">
        <f t="shared" si="50"/>
        <v>5</v>
      </c>
      <c r="N799">
        <f t="shared" si="51"/>
        <v>4</v>
      </c>
      <c r="O799" t="str">
        <f t="shared" si="52"/>
        <v>Passive</v>
      </c>
    </row>
    <row r="800" spans="1:15" ht="14.25" customHeight="1" x14ac:dyDescent="0.3">
      <c r="A800" s="3" t="s">
        <v>819</v>
      </c>
      <c r="B800" s="3" t="s">
        <v>1022</v>
      </c>
      <c r="C800" s="3" t="s">
        <v>16</v>
      </c>
      <c r="D800" s="13">
        <v>45935</v>
      </c>
      <c r="H800" s="3" t="s">
        <v>17</v>
      </c>
      <c r="I800" s="3" t="s">
        <v>94</v>
      </c>
      <c r="M800">
        <f t="shared" si="50"/>
        <v>0</v>
      </c>
      <c r="N800">
        <f t="shared" si="51"/>
        <v>0</v>
      </c>
      <c r="O800" t="str">
        <f t="shared" si="52"/>
        <v>Detractor</v>
      </c>
    </row>
    <row r="801" spans="1:15" ht="14.25" customHeight="1" x14ac:dyDescent="0.3">
      <c r="A801" s="3" t="s">
        <v>820</v>
      </c>
      <c r="B801" s="3" t="s">
        <v>1022</v>
      </c>
      <c r="C801" s="3" t="s">
        <v>16</v>
      </c>
      <c r="D801" s="13">
        <v>45932</v>
      </c>
      <c r="H801" s="3" t="s">
        <v>17</v>
      </c>
      <c r="I801" s="3" t="s">
        <v>56</v>
      </c>
      <c r="M801">
        <f t="shared" si="50"/>
        <v>0</v>
      </c>
      <c r="N801">
        <f t="shared" si="51"/>
        <v>0</v>
      </c>
      <c r="O801" t="str">
        <f t="shared" si="52"/>
        <v>Detractor</v>
      </c>
    </row>
    <row r="802" spans="1:15" ht="14.25" customHeight="1" x14ac:dyDescent="0.3">
      <c r="A802" s="3" t="s">
        <v>821</v>
      </c>
      <c r="B802" s="3" t="s">
        <v>1021</v>
      </c>
      <c r="C802" s="3" t="s">
        <v>16</v>
      </c>
      <c r="D802" s="13">
        <v>45961</v>
      </c>
      <c r="H802" s="3" t="s">
        <v>17</v>
      </c>
      <c r="I802" s="3" t="s">
        <v>18</v>
      </c>
      <c r="M802">
        <f t="shared" si="50"/>
        <v>0</v>
      </c>
      <c r="N802">
        <f t="shared" si="51"/>
        <v>0</v>
      </c>
      <c r="O802" t="str">
        <f t="shared" si="52"/>
        <v>Detractor</v>
      </c>
    </row>
    <row r="803" spans="1:15" ht="14.25" customHeight="1" x14ac:dyDescent="0.3">
      <c r="A803" s="3" t="s">
        <v>822</v>
      </c>
      <c r="B803" s="3" t="s">
        <v>1023</v>
      </c>
      <c r="C803" s="3" t="s">
        <v>12</v>
      </c>
      <c r="D803" s="13">
        <v>45932</v>
      </c>
      <c r="E803" s="13">
        <v>45934</v>
      </c>
      <c r="F803" s="13">
        <v>45936</v>
      </c>
      <c r="G803" s="13">
        <v>45939</v>
      </c>
      <c r="H803" s="3" t="s">
        <v>17</v>
      </c>
      <c r="I803" s="3" t="s">
        <v>94</v>
      </c>
      <c r="L803" s="18">
        <f t="shared" si="49"/>
        <v>2</v>
      </c>
      <c r="M803">
        <f t="shared" si="50"/>
        <v>2</v>
      </c>
      <c r="N803">
        <f t="shared" si="51"/>
        <v>3</v>
      </c>
      <c r="O803" t="str">
        <f t="shared" si="52"/>
        <v>Detractor</v>
      </c>
    </row>
    <row r="804" spans="1:15" ht="14.25" customHeight="1" x14ac:dyDescent="0.3">
      <c r="A804" s="3" t="s">
        <v>823</v>
      </c>
      <c r="B804" s="3" t="s">
        <v>1021</v>
      </c>
      <c r="C804" s="3" t="s">
        <v>12</v>
      </c>
      <c r="D804" s="13">
        <v>45940</v>
      </c>
      <c r="E804" s="13">
        <v>45945</v>
      </c>
      <c r="F804" s="13">
        <v>45950</v>
      </c>
      <c r="G804" s="13">
        <v>45955</v>
      </c>
      <c r="H804" s="3" t="s">
        <v>13</v>
      </c>
      <c r="J804" s="4">
        <v>45983</v>
      </c>
      <c r="K804" s="3">
        <v>10</v>
      </c>
      <c r="L804" s="18">
        <f t="shared" si="49"/>
        <v>5</v>
      </c>
      <c r="M804">
        <f t="shared" si="50"/>
        <v>5</v>
      </c>
      <c r="N804">
        <f t="shared" si="51"/>
        <v>5</v>
      </c>
      <c r="O804" t="str">
        <f t="shared" si="52"/>
        <v>Promoter</v>
      </c>
    </row>
    <row r="805" spans="1:15" ht="14.25" customHeight="1" x14ac:dyDescent="0.3">
      <c r="A805" s="3" t="s">
        <v>824</v>
      </c>
      <c r="B805" s="3" t="s">
        <v>1024</v>
      </c>
      <c r="C805" s="3" t="s">
        <v>12</v>
      </c>
      <c r="D805" s="13">
        <v>45946</v>
      </c>
      <c r="E805" s="13">
        <v>45949</v>
      </c>
      <c r="F805" s="13">
        <v>45954</v>
      </c>
      <c r="G805" s="13">
        <v>45958</v>
      </c>
      <c r="H805" s="3" t="s">
        <v>13</v>
      </c>
      <c r="J805" s="4">
        <v>45984</v>
      </c>
      <c r="K805" s="3">
        <v>1</v>
      </c>
      <c r="L805" s="18">
        <f t="shared" si="49"/>
        <v>3</v>
      </c>
      <c r="M805">
        <f t="shared" si="50"/>
        <v>5</v>
      </c>
      <c r="N805">
        <f t="shared" si="51"/>
        <v>4</v>
      </c>
      <c r="O805" t="str">
        <f t="shared" si="52"/>
        <v>Detractor</v>
      </c>
    </row>
    <row r="806" spans="1:15" ht="14.25" customHeight="1" x14ac:dyDescent="0.3">
      <c r="A806" s="3" t="s">
        <v>825</v>
      </c>
      <c r="B806" s="3" t="s">
        <v>1023</v>
      </c>
      <c r="C806" s="3" t="s">
        <v>12</v>
      </c>
      <c r="D806" s="13">
        <v>45934</v>
      </c>
      <c r="E806" s="13">
        <v>45936</v>
      </c>
      <c r="F806" s="13">
        <v>45938</v>
      </c>
      <c r="G806" s="13">
        <v>45943</v>
      </c>
      <c r="H806" s="3" t="s">
        <v>13</v>
      </c>
      <c r="J806" s="4">
        <v>45958</v>
      </c>
      <c r="K806" s="3">
        <v>9</v>
      </c>
      <c r="L806" s="18">
        <f t="shared" si="49"/>
        <v>2</v>
      </c>
      <c r="M806">
        <f t="shared" si="50"/>
        <v>2</v>
      </c>
      <c r="N806">
        <f t="shared" si="51"/>
        <v>5</v>
      </c>
      <c r="O806" t="str">
        <f t="shared" si="52"/>
        <v>Promoter</v>
      </c>
    </row>
    <row r="807" spans="1:15" ht="14.25" customHeight="1" x14ac:dyDescent="0.3">
      <c r="A807" s="3" t="s">
        <v>826</v>
      </c>
      <c r="B807" s="3" t="s">
        <v>1022</v>
      </c>
      <c r="C807" s="3" t="s">
        <v>16</v>
      </c>
      <c r="D807" s="13">
        <v>45934</v>
      </c>
      <c r="H807" s="3" t="s">
        <v>17</v>
      </c>
      <c r="I807" s="3" t="s">
        <v>18</v>
      </c>
      <c r="M807">
        <f t="shared" si="50"/>
        <v>0</v>
      </c>
      <c r="N807">
        <f t="shared" si="51"/>
        <v>0</v>
      </c>
      <c r="O807" t="str">
        <f t="shared" si="52"/>
        <v>Detractor</v>
      </c>
    </row>
    <row r="808" spans="1:15" ht="14.25" customHeight="1" x14ac:dyDescent="0.3">
      <c r="A808" s="3" t="s">
        <v>827</v>
      </c>
      <c r="B808" s="3" t="s">
        <v>1023</v>
      </c>
      <c r="C808" s="3" t="s">
        <v>24</v>
      </c>
      <c r="D808" s="13">
        <v>45938</v>
      </c>
      <c r="E808" s="13">
        <v>45941</v>
      </c>
      <c r="F808" s="13">
        <v>45945</v>
      </c>
      <c r="G808" s="13">
        <v>45949</v>
      </c>
      <c r="H808" s="3" t="s">
        <v>13</v>
      </c>
      <c r="J808" s="4">
        <v>45962</v>
      </c>
      <c r="K808" s="3">
        <v>3</v>
      </c>
      <c r="L808" s="18">
        <f t="shared" si="49"/>
        <v>3</v>
      </c>
      <c r="M808">
        <f t="shared" si="50"/>
        <v>4</v>
      </c>
      <c r="N808">
        <f t="shared" si="51"/>
        <v>4</v>
      </c>
      <c r="O808" t="str">
        <f t="shared" si="52"/>
        <v>Detractor</v>
      </c>
    </row>
    <row r="809" spans="1:15" ht="14.25" customHeight="1" x14ac:dyDescent="0.3">
      <c r="A809" s="3" t="s">
        <v>828</v>
      </c>
      <c r="B809" s="3" t="s">
        <v>1022</v>
      </c>
      <c r="C809" s="3" t="s">
        <v>12</v>
      </c>
      <c r="D809" s="13">
        <v>45959</v>
      </c>
      <c r="E809" s="13">
        <v>45964</v>
      </c>
      <c r="F809" s="13">
        <v>45966</v>
      </c>
      <c r="G809" s="13">
        <v>45968</v>
      </c>
      <c r="H809" s="3" t="s">
        <v>13</v>
      </c>
      <c r="J809" s="4">
        <v>45989</v>
      </c>
      <c r="K809" s="3">
        <v>2</v>
      </c>
      <c r="L809" s="18">
        <f t="shared" si="49"/>
        <v>5</v>
      </c>
      <c r="M809">
        <f t="shared" si="50"/>
        <v>2</v>
      </c>
      <c r="N809">
        <f t="shared" si="51"/>
        <v>2</v>
      </c>
      <c r="O809" t="str">
        <f t="shared" si="52"/>
        <v>Detractor</v>
      </c>
    </row>
    <row r="810" spans="1:15" ht="14.25" customHeight="1" x14ac:dyDescent="0.3">
      <c r="A810" s="3" t="s">
        <v>829</v>
      </c>
      <c r="B810" s="3" t="s">
        <v>1023</v>
      </c>
      <c r="C810" s="3" t="s">
        <v>24</v>
      </c>
      <c r="D810" s="13">
        <v>45948</v>
      </c>
      <c r="E810" s="13">
        <v>45953</v>
      </c>
      <c r="F810" s="13">
        <v>45955</v>
      </c>
      <c r="G810" s="13">
        <v>45957</v>
      </c>
      <c r="H810" s="3" t="s">
        <v>13</v>
      </c>
      <c r="J810" s="4">
        <v>45987</v>
      </c>
      <c r="K810" s="3">
        <v>5</v>
      </c>
      <c r="L810" s="18">
        <f t="shared" si="49"/>
        <v>5</v>
      </c>
      <c r="M810">
        <f t="shared" si="50"/>
        <v>2</v>
      </c>
      <c r="N810">
        <f t="shared" si="51"/>
        <v>2</v>
      </c>
      <c r="O810" t="str">
        <f t="shared" si="52"/>
        <v>Detractor</v>
      </c>
    </row>
    <row r="811" spans="1:15" ht="14.25" customHeight="1" x14ac:dyDescent="0.3">
      <c r="A811" s="3" t="s">
        <v>830</v>
      </c>
      <c r="B811" s="3" t="s">
        <v>1023</v>
      </c>
      <c r="C811" s="3" t="s">
        <v>12</v>
      </c>
      <c r="D811" s="13">
        <v>45935</v>
      </c>
      <c r="E811" s="13">
        <v>45936</v>
      </c>
      <c r="F811" s="13">
        <v>45939</v>
      </c>
      <c r="G811" s="13">
        <v>45942</v>
      </c>
      <c r="H811" s="3" t="s">
        <v>13</v>
      </c>
      <c r="J811" s="4">
        <v>45953</v>
      </c>
      <c r="K811" s="3">
        <v>1</v>
      </c>
      <c r="L811" s="18">
        <f t="shared" si="49"/>
        <v>1</v>
      </c>
      <c r="M811">
        <f t="shared" si="50"/>
        <v>3</v>
      </c>
      <c r="N811">
        <f t="shared" si="51"/>
        <v>3</v>
      </c>
      <c r="O811" t="str">
        <f t="shared" si="52"/>
        <v>Detractor</v>
      </c>
    </row>
    <row r="812" spans="1:15" ht="14.25" customHeight="1" x14ac:dyDescent="0.3">
      <c r="A812" s="3" t="s">
        <v>831</v>
      </c>
      <c r="B812" s="3" t="s">
        <v>1023</v>
      </c>
      <c r="C812" s="3" t="s">
        <v>16</v>
      </c>
      <c r="D812" s="13">
        <v>45943</v>
      </c>
      <c r="H812" s="3" t="s">
        <v>17</v>
      </c>
      <c r="I812" s="3" t="s">
        <v>56</v>
      </c>
      <c r="M812">
        <f t="shared" si="50"/>
        <v>0</v>
      </c>
      <c r="N812">
        <f t="shared" si="51"/>
        <v>0</v>
      </c>
      <c r="O812" t="str">
        <f t="shared" si="52"/>
        <v>Detractor</v>
      </c>
    </row>
    <row r="813" spans="1:15" ht="14.25" customHeight="1" x14ac:dyDescent="0.3">
      <c r="A813" s="3" t="s">
        <v>832</v>
      </c>
      <c r="B813" s="3" t="s">
        <v>1024</v>
      </c>
      <c r="C813" s="3" t="s">
        <v>12</v>
      </c>
      <c r="D813" s="13">
        <v>45945</v>
      </c>
      <c r="E813" s="13">
        <v>45950</v>
      </c>
      <c r="F813" s="13">
        <v>45953</v>
      </c>
      <c r="G813" s="13">
        <v>45960</v>
      </c>
      <c r="H813" s="3" t="s">
        <v>13</v>
      </c>
      <c r="J813" s="4">
        <v>45982</v>
      </c>
      <c r="K813" s="3">
        <v>7</v>
      </c>
      <c r="L813" s="18">
        <f t="shared" si="49"/>
        <v>5</v>
      </c>
      <c r="M813">
        <f t="shared" si="50"/>
        <v>3</v>
      </c>
      <c r="N813">
        <f t="shared" si="51"/>
        <v>7</v>
      </c>
      <c r="O813" t="str">
        <f t="shared" si="52"/>
        <v>Passive</v>
      </c>
    </row>
    <row r="814" spans="1:15" ht="14.25" customHeight="1" x14ac:dyDescent="0.3">
      <c r="A814" s="3" t="s">
        <v>833</v>
      </c>
      <c r="B814" s="3" t="s">
        <v>1024</v>
      </c>
      <c r="C814" s="3" t="s">
        <v>24</v>
      </c>
      <c r="D814" s="13">
        <v>45942</v>
      </c>
      <c r="E814" s="13">
        <v>45944</v>
      </c>
      <c r="F814" s="13">
        <v>45947</v>
      </c>
      <c r="G814" s="13">
        <v>45951</v>
      </c>
      <c r="H814" s="3" t="s">
        <v>13</v>
      </c>
      <c r="J814" s="4">
        <v>45981</v>
      </c>
      <c r="K814" s="3">
        <v>3</v>
      </c>
      <c r="L814" s="18">
        <f t="shared" si="49"/>
        <v>2</v>
      </c>
      <c r="M814">
        <f t="shared" si="50"/>
        <v>3</v>
      </c>
      <c r="N814">
        <f t="shared" si="51"/>
        <v>4</v>
      </c>
      <c r="O814" t="str">
        <f t="shared" si="52"/>
        <v>Detractor</v>
      </c>
    </row>
    <row r="815" spans="1:15" ht="14.25" customHeight="1" x14ac:dyDescent="0.3">
      <c r="A815" s="3" t="s">
        <v>834</v>
      </c>
      <c r="B815" s="3" t="s">
        <v>1021</v>
      </c>
      <c r="C815" s="3" t="s">
        <v>16</v>
      </c>
      <c r="D815" s="13">
        <v>45952</v>
      </c>
      <c r="H815" s="3" t="s">
        <v>17</v>
      </c>
      <c r="I815" s="3" t="s">
        <v>18</v>
      </c>
      <c r="M815">
        <f t="shared" si="50"/>
        <v>0</v>
      </c>
      <c r="N815">
        <f t="shared" si="51"/>
        <v>0</v>
      </c>
      <c r="O815" t="str">
        <f t="shared" si="52"/>
        <v>Detractor</v>
      </c>
    </row>
    <row r="816" spans="1:15" ht="14.25" customHeight="1" x14ac:dyDescent="0.3">
      <c r="A816" s="3" t="s">
        <v>835</v>
      </c>
      <c r="B816" s="3" t="s">
        <v>1021</v>
      </c>
      <c r="C816" s="3" t="s">
        <v>12</v>
      </c>
      <c r="D816" s="13">
        <v>45961</v>
      </c>
      <c r="E816" s="13">
        <v>45966</v>
      </c>
      <c r="F816" s="13">
        <v>45970</v>
      </c>
      <c r="G816" s="13">
        <v>45977</v>
      </c>
      <c r="H816" s="3" t="s">
        <v>13</v>
      </c>
      <c r="J816" s="4">
        <v>45995</v>
      </c>
      <c r="K816" s="3">
        <v>2</v>
      </c>
      <c r="L816" s="18">
        <f t="shared" si="49"/>
        <v>5</v>
      </c>
      <c r="M816">
        <f t="shared" si="50"/>
        <v>4</v>
      </c>
      <c r="N816">
        <f t="shared" si="51"/>
        <v>7</v>
      </c>
      <c r="O816" t="str">
        <f t="shared" si="52"/>
        <v>Detractor</v>
      </c>
    </row>
    <row r="817" spans="1:15" ht="14.25" customHeight="1" x14ac:dyDescent="0.3">
      <c r="A817" s="3" t="s">
        <v>836</v>
      </c>
      <c r="B817" s="3" t="s">
        <v>1022</v>
      </c>
      <c r="C817" s="3" t="s">
        <v>24</v>
      </c>
      <c r="D817" s="13">
        <v>45954</v>
      </c>
      <c r="E817" s="13">
        <v>45959</v>
      </c>
      <c r="F817" s="13">
        <v>45961</v>
      </c>
      <c r="G817" s="13">
        <v>45968</v>
      </c>
      <c r="H817" s="3" t="s">
        <v>13</v>
      </c>
      <c r="J817" s="4">
        <v>45995</v>
      </c>
      <c r="K817" s="3">
        <v>5</v>
      </c>
      <c r="L817" s="18">
        <f t="shared" si="49"/>
        <v>5</v>
      </c>
      <c r="M817">
        <f t="shared" si="50"/>
        <v>2</v>
      </c>
      <c r="N817">
        <f t="shared" si="51"/>
        <v>7</v>
      </c>
      <c r="O817" t="str">
        <f t="shared" si="52"/>
        <v>Detractor</v>
      </c>
    </row>
    <row r="818" spans="1:15" ht="14.25" customHeight="1" x14ac:dyDescent="0.3">
      <c r="A818" s="3" t="s">
        <v>837</v>
      </c>
      <c r="B818" s="3" t="s">
        <v>1024</v>
      </c>
      <c r="C818" s="3" t="s">
        <v>24</v>
      </c>
      <c r="D818" s="13">
        <v>45953</v>
      </c>
      <c r="E818" s="13">
        <v>45955</v>
      </c>
      <c r="F818" s="13">
        <v>45956</v>
      </c>
      <c r="G818" s="13">
        <v>45962</v>
      </c>
      <c r="H818" s="3" t="s">
        <v>17</v>
      </c>
      <c r="I818" s="3" t="s">
        <v>56</v>
      </c>
      <c r="L818" s="18">
        <f t="shared" si="49"/>
        <v>2</v>
      </c>
      <c r="M818">
        <f t="shared" si="50"/>
        <v>1</v>
      </c>
      <c r="N818">
        <f t="shared" si="51"/>
        <v>6</v>
      </c>
      <c r="O818" t="str">
        <f t="shared" si="52"/>
        <v>Detractor</v>
      </c>
    </row>
    <row r="819" spans="1:15" ht="14.25" customHeight="1" x14ac:dyDescent="0.3">
      <c r="A819" s="3" t="s">
        <v>838</v>
      </c>
      <c r="B819" s="3" t="s">
        <v>1022</v>
      </c>
      <c r="C819" s="3" t="s">
        <v>24</v>
      </c>
      <c r="D819" s="13">
        <v>45961</v>
      </c>
      <c r="E819" s="13">
        <v>45963</v>
      </c>
      <c r="F819" s="13">
        <v>45965</v>
      </c>
      <c r="G819" s="13">
        <v>45967</v>
      </c>
      <c r="H819" s="3" t="s">
        <v>13</v>
      </c>
      <c r="J819" s="4">
        <v>45996</v>
      </c>
      <c r="K819" s="3">
        <v>8</v>
      </c>
      <c r="L819" s="18">
        <f t="shared" si="49"/>
        <v>2</v>
      </c>
      <c r="M819">
        <f t="shared" si="50"/>
        <v>2</v>
      </c>
      <c r="N819">
        <f t="shared" si="51"/>
        <v>2</v>
      </c>
      <c r="O819" t="str">
        <f t="shared" si="52"/>
        <v>Passive</v>
      </c>
    </row>
    <row r="820" spans="1:15" ht="14.25" customHeight="1" x14ac:dyDescent="0.3">
      <c r="A820" s="3" t="s">
        <v>839</v>
      </c>
      <c r="B820" s="3" t="s">
        <v>1021</v>
      </c>
      <c r="C820" s="3" t="s">
        <v>24</v>
      </c>
      <c r="D820" s="13">
        <v>45948</v>
      </c>
      <c r="E820" s="13">
        <v>45953</v>
      </c>
      <c r="F820" s="13">
        <v>45957</v>
      </c>
      <c r="G820" s="13">
        <v>45960</v>
      </c>
      <c r="H820" s="3" t="s">
        <v>13</v>
      </c>
      <c r="J820" s="4">
        <v>45971</v>
      </c>
      <c r="K820" s="3">
        <v>8</v>
      </c>
      <c r="L820" s="18">
        <f t="shared" si="49"/>
        <v>5</v>
      </c>
      <c r="M820">
        <f t="shared" si="50"/>
        <v>4</v>
      </c>
      <c r="N820">
        <f t="shared" si="51"/>
        <v>3</v>
      </c>
      <c r="O820" t="str">
        <f t="shared" si="52"/>
        <v>Passive</v>
      </c>
    </row>
    <row r="821" spans="1:15" ht="14.25" customHeight="1" x14ac:dyDescent="0.3">
      <c r="A821" s="3" t="s">
        <v>840</v>
      </c>
      <c r="B821" s="3" t="s">
        <v>1022</v>
      </c>
      <c r="C821" s="3" t="s">
        <v>16</v>
      </c>
      <c r="D821" s="13">
        <v>45944</v>
      </c>
      <c r="H821" s="3" t="s">
        <v>17</v>
      </c>
      <c r="I821" s="3" t="s">
        <v>56</v>
      </c>
      <c r="M821">
        <f t="shared" si="50"/>
        <v>0</v>
      </c>
      <c r="N821">
        <f t="shared" si="51"/>
        <v>0</v>
      </c>
      <c r="O821" t="str">
        <f t="shared" si="52"/>
        <v>Detractor</v>
      </c>
    </row>
    <row r="822" spans="1:15" ht="14.25" customHeight="1" x14ac:dyDescent="0.3">
      <c r="A822" s="3" t="s">
        <v>841</v>
      </c>
      <c r="B822" s="3" t="s">
        <v>1021</v>
      </c>
      <c r="C822" s="3" t="s">
        <v>12</v>
      </c>
      <c r="D822" s="13">
        <v>45949</v>
      </c>
      <c r="E822" s="13">
        <v>45954</v>
      </c>
      <c r="F822" s="13">
        <v>45957</v>
      </c>
      <c r="G822" s="13">
        <v>45961</v>
      </c>
      <c r="H822" s="3" t="s">
        <v>13</v>
      </c>
      <c r="J822" s="4">
        <v>45990</v>
      </c>
      <c r="K822" s="3">
        <v>2</v>
      </c>
      <c r="L822" s="18">
        <f t="shared" si="49"/>
        <v>5</v>
      </c>
      <c r="M822">
        <f t="shared" si="50"/>
        <v>3</v>
      </c>
      <c r="N822">
        <f t="shared" si="51"/>
        <v>4</v>
      </c>
      <c r="O822" t="str">
        <f t="shared" si="52"/>
        <v>Detractor</v>
      </c>
    </row>
    <row r="823" spans="1:15" ht="14.25" customHeight="1" x14ac:dyDescent="0.3">
      <c r="A823" s="3" t="s">
        <v>842</v>
      </c>
      <c r="B823" s="3" t="s">
        <v>1024</v>
      </c>
      <c r="C823" s="3" t="s">
        <v>16</v>
      </c>
      <c r="D823" s="13">
        <v>45954</v>
      </c>
      <c r="H823" s="3" t="s">
        <v>17</v>
      </c>
      <c r="I823" s="3" t="s">
        <v>26</v>
      </c>
      <c r="M823">
        <f t="shared" si="50"/>
        <v>0</v>
      </c>
      <c r="N823">
        <f t="shared" si="51"/>
        <v>0</v>
      </c>
      <c r="O823" t="str">
        <f t="shared" si="52"/>
        <v>Detractor</v>
      </c>
    </row>
    <row r="824" spans="1:15" ht="14.25" customHeight="1" x14ac:dyDescent="0.3">
      <c r="A824" s="3" t="s">
        <v>843</v>
      </c>
      <c r="B824" s="3" t="s">
        <v>1023</v>
      </c>
      <c r="C824" s="3" t="s">
        <v>12</v>
      </c>
      <c r="D824" s="13">
        <v>45954</v>
      </c>
      <c r="E824" s="13">
        <v>45957</v>
      </c>
      <c r="F824" s="13">
        <v>45961</v>
      </c>
      <c r="G824" s="13">
        <v>45964</v>
      </c>
      <c r="H824" s="3" t="s">
        <v>13</v>
      </c>
      <c r="J824" s="4">
        <v>45975</v>
      </c>
      <c r="K824" s="3">
        <v>3</v>
      </c>
      <c r="L824" s="18">
        <f t="shared" si="49"/>
        <v>3</v>
      </c>
      <c r="M824">
        <f t="shared" si="50"/>
        <v>4</v>
      </c>
      <c r="N824">
        <f t="shared" si="51"/>
        <v>3</v>
      </c>
      <c r="O824" t="str">
        <f t="shared" si="52"/>
        <v>Detractor</v>
      </c>
    </row>
    <row r="825" spans="1:15" ht="14.25" customHeight="1" x14ac:dyDescent="0.3">
      <c r="A825" s="3" t="s">
        <v>844</v>
      </c>
      <c r="B825" s="3" t="s">
        <v>1024</v>
      </c>
      <c r="C825" s="3" t="s">
        <v>24</v>
      </c>
      <c r="D825" s="13">
        <v>45935</v>
      </c>
      <c r="E825" s="13">
        <v>45940</v>
      </c>
      <c r="F825" s="13">
        <v>45943</v>
      </c>
      <c r="G825" s="13">
        <v>45945</v>
      </c>
      <c r="H825" s="3" t="s">
        <v>13</v>
      </c>
      <c r="J825" s="4">
        <v>45958</v>
      </c>
      <c r="K825" s="3">
        <v>4</v>
      </c>
      <c r="L825" s="18">
        <f t="shared" si="49"/>
        <v>5</v>
      </c>
      <c r="M825">
        <f t="shared" si="50"/>
        <v>3</v>
      </c>
      <c r="N825">
        <f t="shared" si="51"/>
        <v>2</v>
      </c>
      <c r="O825" t="str">
        <f t="shared" si="52"/>
        <v>Detractor</v>
      </c>
    </row>
    <row r="826" spans="1:15" ht="14.25" customHeight="1" x14ac:dyDescent="0.3">
      <c r="A826" s="3" t="s">
        <v>845</v>
      </c>
      <c r="B826" s="3" t="s">
        <v>1022</v>
      </c>
      <c r="C826" s="3" t="s">
        <v>12</v>
      </c>
      <c r="D826" s="13">
        <v>45959</v>
      </c>
      <c r="E826" s="13">
        <v>45960</v>
      </c>
      <c r="F826" s="13">
        <v>45964</v>
      </c>
      <c r="G826" s="13">
        <v>45971</v>
      </c>
      <c r="H826" s="3" t="s">
        <v>17</v>
      </c>
      <c r="I826" s="3" t="s">
        <v>56</v>
      </c>
      <c r="L826" s="18">
        <f t="shared" si="49"/>
        <v>1</v>
      </c>
      <c r="M826">
        <f t="shared" si="50"/>
        <v>4</v>
      </c>
      <c r="N826">
        <f t="shared" si="51"/>
        <v>7</v>
      </c>
      <c r="O826" t="str">
        <f t="shared" si="52"/>
        <v>Detractor</v>
      </c>
    </row>
    <row r="827" spans="1:15" ht="14.25" customHeight="1" x14ac:dyDescent="0.3">
      <c r="A827" s="3" t="s">
        <v>846</v>
      </c>
      <c r="B827" s="3" t="s">
        <v>1022</v>
      </c>
      <c r="C827" s="3" t="s">
        <v>24</v>
      </c>
      <c r="D827" s="13">
        <v>45944</v>
      </c>
      <c r="E827" s="13">
        <v>45945</v>
      </c>
      <c r="F827" s="13">
        <v>45946</v>
      </c>
      <c r="G827" s="13">
        <v>45949</v>
      </c>
      <c r="H827" s="3" t="s">
        <v>13</v>
      </c>
      <c r="J827" s="4">
        <v>45979</v>
      </c>
      <c r="K827" s="3">
        <v>3</v>
      </c>
      <c r="L827" s="18">
        <f t="shared" si="49"/>
        <v>1</v>
      </c>
      <c r="M827">
        <f t="shared" si="50"/>
        <v>1</v>
      </c>
      <c r="N827">
        <f t="shared" si="51"/>
        <v>3</v>
      </c>
      <c r="O827" t="str">
        <f t="shared" si="52"/>
        <v>Detractor</v>
      </c>
    </row>
    <row r="828" spans="1:15" ht="14.25" customHeight="1" x14ac:dyDescent="0.3">
      <c r="A828" s="3" t="s">
        <v>847</v>
      </c>
      <c r="B828" s="3" t="s">
        <v>1024</v>
      </c>
      <c r="C828" s="3" t="s">
        <v>12</v>
      </c>
      <c r="D828" s="13">
        <v>45951</v>
      </c>
      <c r="E828" s="13">
        <v>45952</v>
      </c>
      <c r="F828" s="13">
        <v>45955</v>
      </c>
      <c r="G828" s="13">
        <v>45959</v>
      </c>
      <c r="H828" s="3" t="s">
        <v>13</v>
      </c>
      <c r="J828" s="4">
        <v>45969</v>
      </c>
      <c r="K828" s="3">
        <v>6</v>
      </c>
      <c r="L828" s="18">
        <f t="shared" si="49"/>
        <v>1</v>
      </c>
      <c r="M828">
        <f t="shared" si="50"/>
        <v>3</v>
      </c>
      <c r="N828">
        <f t="shared" si="51"/>
        <v>4</v>
      </c>
      <c r="O828" t="str">
        <f t="shared" si="52"/>
        <v>Detractor</v>
      </c>
    </row>
    <row r="829" spans="1:15" ht="14.25" customHeight="1" x14ac:dyDescent="0.3">
      <c r="A829" s="3" t="s">
        <v>848</v>
      </c>
      <c r="B829" s="3" t="s">
        <v>1024</v>
      </c>
      <c r="C829" s="3" t="s">
        <v>16</v>
      </c>
      <c r="D829" s="13">
        <v>45934</v>
      </c>
      <c r="H829" s="3" t="s">
        <v>17</v>
      </c>
      <c r="I829" s="3" t="s">
        <v>56</v>
      </c>
      <c r="M829">
        <f t="shared" si="50"/>
        <v>0</v>
      </c>
      <c r="N829">
        <f t="shared" si="51"/>
        <v>0</v>
      </c>
      <c r="O829" t="str">
        <f t="shared" si="52"/>
        <v>Detractor</v>
      </c>
    </row>
    <row r="830" spans="1:15" ht="14.25" customHeight="1" x14ac:dyDescent="0.3">
      <c r="A830" s="3" t="s">
        <v>849</v>
      </c>
      <c r="B830" s="3" t="s">
        <v>1021</v>
      </c>
      <c r="C830" s="3" t="s">
        <v>12</v>
      </c>
      <c r="D830" s="13">
        <v>45957</v>
      </c>
      <c r="E830" s="13">
        <v>45958</v>
      </c>
      <c r="F830" s="13">
        <v>45961</v>
      </c>
      <c r="G830" s="13">
        <v>45966</v>
      </c>
      <c r="H830" s="3" t="s">
        <v>13</v>
      </c>
      <c r="J830" s="4">
        <v>45977</v>
      </c>
      <c r="K830" s="3">
        <v>2</v>
      </c>
      <c r="L830" s="18">
        <f t="shared" si="49"/>
        <v>1</v>
      </c>
      <c r="M830">
        <f t="shared" si="50"/>
        <v>3</v>
      </c>
      <c r="N830">
        <f t="shared" si="51"/>
        <v>5</v>
      </c>
      <c r="O830" t="str">
        <f t="shared" si="52"/>
        <v>Detractor</v>
      </c>
    </row>
    <row r="831" spans="1:15" ht="14.25" customHeight="1" x14ac:dyDescent="0.3">
      <c r="A831" s="3" t="s">
        <v>850</v>
      </c>
      <c r="B831" s="3" t="s">
        <v>1022</v>
      </c>
      <c r="C831" s="3" t="s">
        <v>12</v>
      </c>
      <c r="D831" s="13">
        <v>45946</v>
      </c>
      <c r="E831" s="13">
        <v>45951</v>
      </c>
      <c r="F831" s="13">
        <v>45953</v>
      </c>
      <c r="G831" s="13">
        <v>45959</v>
      </c>
      <c r="H831" s="3" t="s">
        <v>17</v>
      </c>
      <c r="I831" s="3" t="s">
        <v>20</v>
      </c>
      <c r="L831" s="18">
        <f t="shared" si="49"/>
        <v>5</v>
      </c>
      <c r="M831">
        <f t="shared" si="50"/>
        <v>2</v>
      </c>
      <c r="N831">
        <f t="shared" si="51"/>
        <v>6</v>
      </c>
      <c r="O831" t="str">
        <f t="shared" si="52"/>
        <v>Detractor</v>
      </c>
    </row>
    <row r="832" spans="1:15" ht="14.25" customHeight="1" x14ac:dyDescent="0.3">
      <c r="A832" s="3" t="s">
        <v>851</v>
      </c>
      <c r="B832" s="3" t="s">
        <v>1022</v>
      </c>
      <c r="C832" s="3" t="s">
        <v>24</v>
      </c>
      <c r="D832" s="13">
        <v>45950</v>
      </c>
      <c r="E832" s="13">
        <v>45953</v>
      </c>
      <c r="F832" s="13">
        <v>45957</v>
      </c>
      <c r="G832" s="13">
        <v>45959</v>
      </c>
      <c r="H832" s="3" t="s">
        <v>17</v>
      </c>
      <c r="I832" s="3" t="s">
        <v>94</v>
      </c>
      <c r="L832" s="18">
        <f t="shared" si="49"/>
        <v>3</v>
      </c>
      <c r="M832">
        <f t="shared" si="50"/>
        <v>4</v>
      </c>
      <c r="N832">
        <f t="shared" si="51"/>
        <v>2</v>
      </c>
      <c r="O832" t="str">
        <f t="shared" si="52"/>
        <v>Detractor</v>
      </c>
    </row>
    <row r="833" spans="1:15" ht="14.25" customHeight="1" x14ac:dyDescent="0.3">
      <c r="A833" s="3" t="s">
        <v>852</v>
      </c>
      <c r="B833" s="3" t="s">
        <v>1024</v>
      </c>
      <c r="C833" s="3" t="s">
        <v>24</v>
      </c>
      <c r="D833" s="13">
        <v>45944</v>
      </c>
      <c r="E833" s="13">
        <v>45946</v>
      </c>
      <c r="F833" s="13">
        <v>45951</v>
      </c>
      <c r="G833" s="13">
        <v>45958</v>
      </c>
      <c r="H833" s="3" t="s">
        <v>13</v>
      </c>
      <c r="J833" s="4">
        <v>45971</v>
      </c>
      <c r="K833" s="3">
        <v>9</v>
      </c>
      <c r="L833" s="18">
        <f t="shared" si="49"/>
        <v>2</v>
      </c>
      <c r="M833">
        <f t="shared" si="50"/>
        <v>5</v>
      </c>
      <c r="N833">
        <f t="shared" si="51"/>
        <v>7</v>
      </c>
      <c r="O833" t="str">
        <f t="shared" si="52"/>
        <v>Promoter</v>
      </c>
    </row>
    <row r="834" spans="1:15" ht="14.25" customHeight="1" x14ac:dyDescent="0.3">
      <c r="A834" s="3" t="s">
        <v>853</v>
      </c>
      <c r="B834" s="3" t="s">
        <v>1023</v>
      </c>
      <c r="C834" s="3" t="s">
        <v>24</v>
      </c>
      <c r="D834" s="13">
        <v>45961</v>
      </c>
      <c r="E834" s="13">
        <v>45966</v>
      </c>
      <c r="F834" s="13">
        <v>45971</v>
      </c>
      <c r="G834" s="13">
        <v>45975</v>
      </c>
      <c r="H834" s="3" t="s">
        <v>13</v>
      </c>
      <c r="J834" s="4">
        <v>45998</v>
      </c>
      <c r="K834" s="3">
        <v>9</v>
      </c>
      <c r="L834" s="18">
        <f t="shared" si="49"/>
        <v>5</v>
      </c>
      <c r="M834">
        <f t="shared" si="50"/>
        <v>5</v>
      </c>
      <c r="N834">
        <f t="shared" si="51"/>
        <v>4</v>
      </c>
      <c r="O834" t="str">
        <f t="shared" si="52"/>
        <v>Promoter</v>
      </c>
    </row>
    <row r="835" spans="1:15" ht="14.25" customHeight="1" x14ac:dyDescent="0.3">
      <c r="A835" s="3" t="s">
        <v>854</v>
      </c>
      <c r="B835" s="3" t="s">
        <v>1022</v>
      </c>
      <c r="C835" s="3" t="s">
        <v>12</v>
      </c>
      <c r="D835" s="13">
        <v>45961</v>
      </c>
      <c r="E835" s="13">
        <v>45965</v>
      </c>
      <c r="F835" s="13">
        <v>45967</v>
      </c>
      <c r="G835" s="13">
        <v>45971</v>
      </c>
      <c r="H835" s="3" t="s">
        <v>13</v>
      </c>
      <c r="J835" s="4">
        <v>45995</v>
      </c>
      <c r="K835" s="3">
        <v>6</v>
      </c>
      <c r="L835" s="18">
        <f t="shared" ref="L835:L897" si="53">E835-D835</f>
        <v>4</v>
      </c>
      <c r="M835">
        <f t="shared" ref="M835:M898" si="54">F835-E835</f>
        <v>2</v>
      </c>
      <c r="N835">
        <f t="shared" ref="N835:N898" si="55">G835-F835</f>
        <v>4</v>
      </c>
      <c r="O835" t="str">
        <f t="shared" ref="O835:O898" si="56">IF(K835&gt;=9,"Promoter",IF(K835&lt;=6,"Detractor","Passive"))</f>
        <v>Detractor</v>
      </c>
    </row>
    <row r="836" spans="1:15" ht="14.25" customHeight="1" x14ac:dyDescent="0.3">
      <c r="A836" s="3" t="s">
        <v>855</v>
      </c>
      <c r="B836" s="3" t="s">
        <v>1023</v>
      </c>
      <c r="C836" s="3" t="s">
        <v>24</v>
      </c>
      <c r="D836" s="13">
        <v>45939</v>
      </c>
      <c r="E836" s="13">
        <v>45944</v>
      </c>
      <c r="F836" s="13">
        <v>45948</v>
      </c>
      <c r="G836" s="13">
        <v>45951</v>
      </c>
      <c r="H836" s="3" t="s">
        <v>13</v>
      </c>
      <c r="J836" s="4">
        <v>45973</v>
      </c>
      <c r="K836" s="3">
        <v>8</v>
      </c>
      <c r="L836" s="18">
        <f t="shared" si="53"/>
        <v>5</v>
      </c>
      <c r="M836">
        <f t="shared" si="54"/>
        <v>4</v>
      </c>
      <c r="N836">
        <f t="shared" si="55"/>
        <v>3</v>
      </c>
      <c r="O836" t="str">
        <f t="shared" si="56"/>
        <v>Passive</v>
      </c>
    </row>
    <row r="837" spans="1:15" ht="14.25" customHeight="1" x14ac:dyDescent="0.3">
      <c r="A837" s="3" t="s">
        <v>856</v>
      </c>
      <c r="B837" s="3" t="s">
        <v>1024</v>
      </c>
      <c r="C837" s="3" t="s">
        <v>12</v>
      </c>
      <c r="D837" s="13">
        <v>45932</v>
      </c>
      <c r="E837" s="13">
        <v>45933</v>
      </c>
      <c r="F837" s="13">
        <v>45934</v>
      </c>
      <c r="G837" s="13">
        <v>45936</v>
      </c>
      <c r="H837" s="3" t="s">
        <v>17</v>
      </c>
      <c r="I837" s="3" t="s">
        <v>26</v>
      </c>
      <c r="L837" s="18">
        <f t="shared" si="53"/>
        <v>1</v>
      </c>
      <c r="M837">
        <f t="shared" si="54"/>
        <v>1</v>
      </c>
      <c r="N837">
        <f t="shared" si="55"/>
        <v>2</v>
      </c>
      <c r="O837" t="str">
        <f t="shared" si="56"/>
        <v>Detractor</v>
      </c>
    </row>
    <row r="838" spans="1:15" ht="14.25" customHeight="1" x14ac:dyDescent="0.3">
      <c r="A838" s="3" t="s">
        <v>857</v>
      </c>
      <c r="B838" s="3" t="s">
        <v>1024</v>
      </c>
      <c r="C838" s="3" t="s">
        <v>12</v>
      </c>
      <c r="D838" s="13">
        <v>45953</v>
      </c>
      <c r="E838" s="13">
        <v>45957</v>
      </c>
      <c r="F838" s="13">
        <v>45959</v>
      </c>
      <c r="G838" s="13">
        <v>45964</v>
      </c>
      <c r="H838" s="3" t="s">
        <v>13</v>
      </c>
      <c r="J838" s="4">
        <v>45977</v>
      </c>
      <c r="K838" s="3">
        <v>2</v>
      </c>
      <c r="L838" s="18">
        <f t="shared" si="53"/>
        <v>4</v>
      </c>
      <c r="M838">
        <f t="shared" si="54"/>
        <v>2</v>
      </c>
      <c r="N838">
        <f t="shared" si="55"/>
        <v>5</v>
      </c>
      <c r="O838" t="str">
        <f t="shared" si="56"/>
        <v>Detractor</v>
      </c>
    </row>
    <row r="839" spans="1:15" ht="14.25" customHeight="1" x14ac:dyDescent="0.3">
      <c r="A839" s="3" t="s">
        <v>858</v>
      </c>
      <c r="B839" s="3" t="s">
        <v>1021</v>
      </c>
      <c r="C839" s="3" t="s">
        <v>12</v>
      </c>
      <c r="D839" s="13">
        <v>45942</v>
      </c>
      <c r="E839" s="13">
        <v>45947</v>
      </c>
      <c r="F839" s="13">
        <v>45950</v>
      </c>
      <c r="G839" s="13">
        <v>45955</v>
      </c>
      <c r="H839" s="3" t="s">
        <v>13</v>
      </c>
      <c r="J839" s="4">
        <v>45982</v>
      </c>
      <c r="K839" s="3">
        <v>6</v>
      </c>
      <c r="L839" s="18">
        <f t="shared" si="53"/>
        <v>5</v>
      </c>
      <c r="M839">
        <f t="shared" si="54"/>
        <v>3</v>
      </c>
      <c r="N839">
        <f t="shared" si="55"/>
        <v>5</v>
      </c>
      <c r="O839" t="str">
        <f t="shared" si="56"/>
        <v>Detractor</v>
      </c>
    </row>
    <row r="840" spans="1:15" ht="14.25" customHeight="1" x14ac:dyDescent="0.3">
      <c r="A840" s="3" t="s">
        <v>859</v>
      </c>
      <c r="B840" s="3" t="s">
        <v>1022</v>
      </c>
      <c r="C840" s="3" t="s">
        <v>24</v>
      </c>
      <c r="D840" s="13">
        <v>45937</v>
      </c>
      <c r="E840" s="13">
        <v>45940</v>
      </c>
      <c r="F840" s="13">
        <v>45941</v>
      </c>
      <c r="G840" s="13">
        <v>45947</v>
      </c>
      <c r="H840" s="3" t="s">
        <v>13</v>
      </c>
      <c r="J840" s="4">
        <v>45965</v>
      </c>
      <c r="K840" s="3">
        <v>6</v>
      </c>
      <c r="L840" s="18">
        <f t="shared" si="53"/>
        <v>3</v>
      </c>
      <c r="M840">
        <f t="shared" si="54"/>
        <v>1</v>
      </c>
      <c r="N840">
        <f t="shared" si="55"/>
        <v>6</v>
      </c>
      <c r="O840" t="str">
        <f t="shared" si="56"/>
        <v>Detractor</v>
      </c>
    </row>
    <row r="841" spans="1:15" ht="14.25" customHeight="1" x14ac:dyDescent="0.3">
      <c r="A841" s="3" t="s">
        <v>860</v>
      </c>
      <c r="B841" s="3" t="s">
        <v>1023</v>
      </c>
      <c r="C841" s="3" t="s">
        <v>24</v>
      </c>
      <c r="D841" s="13">
        <v>45945</v>
      </c>
      <c r="E841" s="13">
        <v>45948</v>
      </c>
      <c r="F841" s="13">
        <v>45952</v>
      </c>
      <c r="G841" s="13">
        <v>45959</v>
      </c>
      <c r="H841" s="3" t="s">
        <v>13</v>
      </c>
      <c r="J841" s="4">
        <v>45984</v>
      </c>
      <c r="K841" s="3">
        <v>9</v>
      </c>
      <c r="L841" s="18">
        <f t="shared" si="53"/>
        <v>3</v>
      </c>
      <c r="M841">
        <f t="shared" si="54"/>
        <v>4</v>
      </c>
      <c r="N841">
        <f t="shared" si="55"/>
        <v>7</v>
      </c>
      <c r="O841" t="str">
        <f t="shared" si="56"/>
        <v>Promoter</v>
      </c>
    </row>
    <row r="842" spans="1:15" ht="14.25" customHeight="1" x14ac:dyDescent="0.3">
      <c r="A842" s="3" t="s">
        <v>861</v>
      </c>
      <c r="B842" s="3" t="s">
        <v>1021</v>
      </c>
      <c r="C842" s="3" t="s">
        <v>16</v>
      </c>
      <c r="D842" s="13">
        <v>45945</v>
      </c>
      <c r="H842" s="3" t="s">
        <v>17</v>
      </c>
      <c r="I842" s="3" t="s">
        <v>26</v>
      </c>
      <c r="M842">
        <f t="shared" si="54"/>
        <v>0</v>
      </c>
      <c r="N842">
        <f t="shared" si="55"/>
        <v>0</v>
      </c>
      <c r="O842" t="str">
        <f t="shared" si="56"/>
        <v>Detractor</v>
      </c>
    </row>
    <row r="843" spans="1:15" ht="14.25" customHeight="1" x14ac:dyDescent="0.3">
      <c r="A843" s="3" t="s">
        <v>862</v>
      </c>
      <c r="B843" s="3" t="s">
        <v>1022</v>
      </c>
      <c r="C843" s="3" t="s">
        <v>12</v>
      </c>
      <c r="D843" s="13">
        <v>45961</v>
      </c>
      <c r="E843" s="13">
        <v>45965</v>
      </c>
      <c r="F843" s="13">
        <v>45968</v>
      </c>
      <c r="G843" s="13">
        <v>45974</v>
      </c>
      <c r="H843" s="3" t="s">
        <v>13</v>
      </c>
      <c r="J843" s="4">
        <v>45988</v>
      </c>
      <c r="K843" s="3">
        <v>9</v>
      </c>
      <c r="L843" s="18">
        <f t="shared" si="53"/>
        <v>4</v>
      </c>
      <c r="M843">
        <f t="shared" si="54"/>
        <v>3</v>
      </c>
      <c r="N843">
        <f t="shared" si="55"/>
        <v>6</v>
      </c>
      <c r="O843" t="str">
        <f t="shared" si="56"/>
        <v>Promoter</v>
      </c>
    </row>
    <row r="844" spans="1:15" ht="14.25" customHeight="1" x14ac:dyDescent="0.3">
      <c r="A844" s="3" t="s">
        <v>863</v>
      </c>
      <c r="B844" s="3" t="s">
        <v>1021</v>
      </c>
      <c r="C844" s="3" t="s">
        <v>12</v>
      </c>
      <c r="D844" s="13">
        <v>45938</v>
      </c>
      <c r="E844" s="13">
        <v>45940</v>
      </c>
      <c r="F844" s="13">
        <v>45945</v>
      </c>
      <c r="G844" s="13">
        <v>45948</v>
      </c>
      <c r="H844" s="3" t="s">
        <v>13</v>
      </c>
      <c r="J844" s="4">
        <v>45964</v>
      </c>
      <c r="K844" s="3">
        <v>0</v>
      </c>
      <c r="L844" s="18">
        <f t="shared" si="53"/>
        <v>2</v>
      </c>
      <c r="M844">
        <f t="shared" si="54"/>
        <v>5</v>
      </c>
      <c r="N844">
        <f t="shared" si="55"/>
        <v>3</v>
      </c>
      <c r="O844" t="str">
        <f t="shared" si="56"/>
        <v>Detractor</v>
      </c>
    </row>
    <row r="845" spans="1:15" ht="14.25" customHeight="1" x14ac:dyDescent="0.3">
      <c r="A845" s="3" t="s">
        <v>864</v>
      </c>
      <c r="B845" s="3" t="s">
        <v>1024</v>
      </c>
      <c r="C845" s="3" t="s">
        <v>24</v>
      </c>
      <c r="D845" s="13">
        <v>45958</v>
      </c>
      <c r="E845" s="13">
        <v>45962</v>
      </c>
      <c r="F845" s="13">
        <v>45966</v>
      </c>
      <c r="G845" s="13">
        <v>45968</v>
      </c>
      <c r="H845" s="3" t="s">
        <v>17</v>
      </c>
      <c r="I845" s="3" t="s">
        <v>26</v>
      </c>
      <c r="L845" s="18">
        <f t="shared" si="53"/>
        <v>4</v>
      </c>
      <c r="M845">
        <f t="shared" si="54"/>
        <v>4</v>
      </c>
      <c r="N845">
        <f t="shared" si="55"/>
        <v>2</v>
      </c>
      <c r="O845" t="str">
        <f t="shared" si="56"/>
        <v>Detractor</v>
      </c>
    </row>
    <row r="846" spans="1:15" ht="14.25" customHeight="1" x14ac:dyDescent="0.3">
      <c r="A846" s="3" t="s">
        <v>865</v>
      </c>
      <c r="B846" s="3" t="s">
        <v>1022</v>
      </c>
      <c r="C846" s="3" t="s">
        <v>16</v>
      </c>
      <c r="D846" s="13">
        <v>45942</v>
      </c>
      <c r="H846" s="3" t="s">
        <v>17</v>
      </c>
      <c r="I846" s="3" t="s">
        <v>20</v>
      </c>
      <c r="M846">
        <f t="shared" si="54"/>
        <v>0</v>
      </c>
      <c r="N846">
        <f t="shared" si="55"/>
        <v>0</v>
      </c>
      <c r="O846" t="str">
        <f t="shared" si="56"/>
        <v>Detractor</v>
      </c>
    </row>
    <row r="847" spans="1:15" ht="14.25" customHeight="1" x14ac:dyDescent="0.3">
      <c r="A847" s="3" t="s">
        <v>866</v>
      </c>
      <c r="B847" s="3" t="s">
        <v>1021</v>
      </c>
      <c r="C847" s="3" t="s">
        <v>12</v>
      </c>
      <c r="D847" s="13">
        <v>45934</v>
      </c>
      <c r="E847" s="13">
        <v>45937</v>
      </c>
      <c r="F847" s="13">
        <v>45940</v>
      </c>
      <c r="G847" s="13">
        <v>45945</v>
      </c>
      <c r="H847" s="3" t="s">
        <v>13</v>
      </c>
      <c r="J847" s="4">
        <v>45975</v>
      </c>
      <c r="K847" s="3">
        <v>7</v>
      </c>
      <c r="L847" s="18">
        <f t="shared" si="53"/>
        <v>3</v>
      </c>
      <c r="M847">
        <f t="shared" si="54"/>
        <v>3</v>
      </c>
      <c r="N847">
        <f t="shared" si="55"/>
        <v>5</v>
      </c>
      <c r="O847" t="str">
        <f t="shared" si="56"/>
        <v>Passive</v>
      </c>
    </row>
    <row r="848" spans="1:15" ht="14.25" customHeight="1" x14ac:dyDescent="0.3">
      <c r="A848" s="3" t="s">
        <v>867</v>
      </c>
      <c r="B848" s="3" t="s">
        <v>1021</v>
      </c>
      <c r="C848" s="3" t="s">
        <v>12</v>
      </c>
      <c r="D848" s="13">
        <v>45952</v>
      </c>
      <c r="E848" s="13">
        <v>45956</v>
      </c>
      <c r="F848" s="13">
        <v>45960</v>
      </c>
      <c r="G848" s="13">
        <v>45962</v>
      </c>
      <c r="H848" s="3" t="s">
        <v>13</v>
      </c>
      <c r="J848" s="4">
        <v>45972</v>
      </c>
      <c r="K848" s="3">
        <v>3</v>
      </c>
      <c r="L848" s="18">
        <f t="shared" si="53"/>
        <v>4</v>
      </c>
      <c r="M848">
        <f t="shared" si="54"/>
        <v>4</v>
      </c>
      <c r="N848">
        <f t="shared" si="55"/>
        <v>2</v>
      </c>
      <c r="O848" t="str">
        <f t="shared" si="56"/>
        <v>Detractor</v>
      </c>
    </row>
    <row r="849" spans="1:15" ht="14.25" customHeight="1" x14ac:dyDescent="0.3">
      <c r="A849" s="3" t="s">
        <v>868</v>
      </c>
      <c r="B849" s="3" t="s">
        <v>1023</v>
      </c>
      <c r="C849" s="3" t="s">
        <v>16</v>
      </c>
      <c r="D849" s="13">
        <v>45942</v>
      </c>
      <c r="H849" s="3" t="s">
        <v>17</v>
      </c>
      <c r="I849" s="3" t="s">
        <v>56</v>
      </c>
      <c r="M849">
        <f t="shared" si="54"/>
        <v>0</v>
      </c>
      <c r="N849">
        <f t="shared" si="55"/>
        <v>0</v>
      </c>
      <c r="O849" t="str">
        <f t="shared" si="56"/>
        <v>Detractor</v>
      </c>
    </row>
    <row r="850" spans="1:15" ht="14.25" customHeight="1" x14ac:dyDescent="0.3">
      <c r="A850" s="3" t="s">
        <v>869</v>
      </c>
      <c r="B850" s="3" t="s">
        <v>1021</v>
      </c>
      <c r="C850" s="3" t="s">
        <v>24</v>
      </c>
      <c r="D850" s="13">
        <v>45948</v>
      </c>
      <c r="E850" s="13">
        <v>45949</v>
      </c>
      <c r="F850" s="13">
        <v>45952</v>
      </c>
      <c r="G850" s="13">
        <v>45955</v>
      </c>
      <c r="H850" s="3" t="s">
        <v>13</v>
      </c>
      <c r="J850" s="4">
        <v>45974</v>
      </c>
      <c r="K850" s="3">
        <v>5</v>
      </c>
      <c r="L850" s="18">
        <f t="shared" si="53"/>
        <v>1</v>
      </c>
      <c r="M850">
        <f t="shared" si="54"/>
        <v>3</v>
      </c>
      <c r="N850">
        <f t="shared" si="55"/>
        <v>3</v>
      </c>
      <c r="O850" t="str">
        <f t="shared" si="56"/>
        <v>Detractor</v>
      </c>
    </row>
    <row r="851" spans="1:15" ht="14.25" customHeight="1" x14ac:dyDescent="0.3">
      <c r="A851" s="3" t="s">
        <v>870</v>
      </c>
      <c r="B851" s="3" t="s">
        <v>1022</v>
      </c>
      <c r="C851" s="3" t="s">
        <v>12</v>
      </c>
      <c r="D851" s="13">
        <v>45959</v>
      </c>
      <c r="E851" s="13">
        <v>45960</v>
      </c>
      <c r="F851" s="13">
        <v>45964</v>
      </c>
      <c r="G851" s="13">
        <v>45966</v>
      </c>
      <c r="H851" s="3" t="s">
        <v>13</v>
      </c>
      <c r="J851" s="4">
        <v>45989</v>
      </c>
      <c r="K851" s="3">
        <v>6</v>
      </c>
      <c r="L851" s="18">
        <f t="shared" si="53"/>
        <v>1</v>
      </c>
      <c r="M851">
        <f t="shared" si="54"/>
        <v>4</v>
      </c>
      <c r="N851">
        <f t="shared" si="55"/>
        <v>2</v>
      </c>
      <c r="O851" t="str">
        <f t="shared" si="56"/>
        <v>Detractor</v>
      </c>
    </row>
    <row r="852" spans="1:15" ht="14.25" customHeight="1" x14ac:dyDescent="0.3">
      <c r="A852" s="3" t="s">
        <v>871</v>
      </c>
      <c r="B852" s="3" t="s">
        <v>1022</v>
      </c>
      <c r="C852" s="3" t="s">
        <v>12</v>
      </c>
      <c r="D852" s="13">
        <v>45951</v>
      </c>
      <c r="E852" s="13">
        <v>45953</v>
      </c>
      <c r="F852" s="13">
        <v>45958</v>
      </c>
      <c r="G852" s="13">
        <v>45960</v>
      </c>
      <c r="H852" s="3" t="s">
        <v>13</v>
      </c>
      <c r="J852" s="4">
        <v>45973</v>
      </c>
      <c r="K852" s="3">
        <v>4</v>
      </c>
      <c r="L852" s="18">
        <f t="shared" si="53"/>
        <v>2</v>
      </c>
      <c r="M852">
        <f t="shared" si="54"/>
        <v>5</v>
      </c>
      <c r="N852">
        <f t="shared" si="55"/>
        <v>2</v>
      </c>
      <c r="O852" t="str">
        <f t="shared" si="56"/>
        <v>Detractor</v>
      </c>
    </row>
    <row r="853" spans="1:15" ht="14.25" customHeight="1" x14ac:dyDescent="0.3">
      <c r="A853" s="3" t="s">
        <v>872</v>
      </c>
      <c r="B853" s="3" t="s">
        <v>1023</v>
      </c>
      <c r="C853" s="3" t="s">
        <v>24</v>
      </c>
      <c r="D853" s="13">
        <v>45942</v>
      </c>
      <c r="E853" s="13">
        <v>45946</v>
      </c>
      <c r="F853" s="13">
        <v>45948</v>
      </c>
      <c r="G853" s="13">
        <v>45950</v>
      </c>
      <c r="H853" s="3" t="s">
        <v>13</v>
      </c>
      <c r="J853" s="4">
        <v>45976</v>
      </c>
      <c r="K853" s="3">
        <v>9</v>
      </c>
      <c r="L853" s="18">
        <f t="shared" si="53"/>
        <v>4</v>
      </c>
      <c r="M853">
        <f t="shared" si="54"/>
        <v>2</v>
      </c>
      <c r="N853">
        <f t="shared" si="55"/>
        <v>2</v>
      </c>
      <c r="O853" t="str">
        <f t="shared" si="56"/>
        <v>Promoter</v>
      </c>
    </row>
    <row r="854" spans="1:15" ht="14.25" customHeight="1" x14ac:dyDescent="0.3">
      <c r="A854" s="3" t="s">
        <v>873</v>
      </c>
      <c r="B854" s="3" t="s">
        <v>1022</v>
      </c>
      <c r="C854" s="3" t="s">
        <v>16</v>
      </c>
      <c r="D854" s="13">
        <v>45932</v>
      </c>
      <c r="H854" s="3" t="s">
        <v>17</v>
      </c>
      <c r="I854" s="3" t="s">
        <v>94</v>
      </c>
      <c r="M854">
        <f t="shared" si="54"/>
        <v>0</v>
      </c>
      <c r="N854">
        <f t="shared" si="55"/>
        <v>0</v>
      </c>
      <c r="O854" t="str">
        <f t="shared" si="56"/>
        <v>Detractor</v>
      </c>
    </row>
    <row r="855" spans="1:15" ht="14.25" customHeight="1" x14ac:dyDescent="0.3">
      <c r="A855" s="3" t="s">
        <v>874</v>
      </c>
      <c r="B855" s="3" t="s">
        <v>1024</v>
      </c>
      <c r="C855" s="3" t="s">
        <v>12</v>
      </c>
      <c r="D855" s="13">
        <v>45943</v>
      </c>
      <c r="E855" s="13">
        <v>45947</v>
      </c>
      <c r="F855" s="13">
        <v>45950</v>
      </c>
      <c r="G855" s="13">
        <v>45953</v>
      </c>
      <c r="H855" s="3" t="s">
        <v>17</v>
      </c>
      <c r="I855" s="3" t="s">
        <v>18</v>
      </c>
      <c r="L855" s="18">
        <f t="shared" si="53"/>
        <v>4</v>
      </c>
      <c r="M855">
        <f t="shared" si="54"/>
        <v>3</v>
      </c>
      <c r="N855">
        <f t="shared" si="55"/>
        <v>3</v>
      </c>
      <c r="O855" t="str">
        <f t="shared" si="56"/>
        <v>Detractor</v>
      </c>
    </row>
    <row r="856" spans="1:15" ht="14.25" customHeight="1" x14ac:dyDescent="0.3">
      <c r="A856" s="3" t="s">
        <v>875</v>
      </c>
      <c r="B856" s="3" t="s">
        <v>1022</v>
      </c>
      <c r="C856" s="3" t="s">
        <v>12</v>
      </c>
      <c r="D856" s="13">
        <v>45939</v>
      </c>
      <c r="E856" s="13">
        <v>45943</v>
      </c>
      <c r="F856" s="13">
        <v>45946</v>
      </c>
      <c r="G856" s="13">
        <v>45949</v>
      </c>
      <c r="H856" s="3" t="s">
        <v>13</v>
      </c>
      <c r="J856" s="4">
        <v>45967</v>
      </c>
      <c r="K856" s="3">
        <v>2</v>
      </c>
      <c r="L856" s="18">
        <f t="shared" si="53"/>
        <v>4</v>
      </c>
      <c r="M856">
        <f t="shared" si="54"/>
        <v>3</v>
      </c>
      <c r="N856">
        <f t="shared" si="55"/>
        <v>3</v>
      </c>
      <c r="O856" t="str">
        <f t="shared" si="56"/>
        <v>Detractor</v>
      </c>
    </row>
    <row r="857" spans="1:15" ht="14.25" customHeight="1" x14ac:dyDescent="0.3">
      <c r="A857" s="3" t="s">
        <v>876</v>
      </c>
      <c r="B857" s="3" t="s">
        <v>1022</v>
      </c>
      <c r="C857" s="3" t="s">
        <v>24</v>
      </c>
      <c r="D857" s="13">
        <v>45937</v>
      </c>
      <c r="E857" s="13">
        <v>45941</v>
      </c>
      <c r="F857" s="13">
        <v>45946</v>
      </c>
      <c r="G857" s="13">
        <v>45949</v>
      </c>
      <c r="H857" s="3" t="s">
        <v>13</v>
      </c>
      <c r="J857" s="4">
        <v>45978</v>
      </c>
      <c r="K857" s="3">
        <v>7</v>
      </c>
      <c r="L857" s="18">
        <f t="shared" si="53"/>
        <v>4</v>
      </c>
      <c r="M857">
        <f t="shared" si="54"/>
        <v>5</v>
      </c>
      <c r="N857">
        <f t="shared" si="55"/>
        <v>3</v>
      </c>
      <c r="O857" t="str">
        <f t="shared" si="56"/>
        <v>Passive</v>
      </c>
    </row>
    <row r="858" spans="1:15" ht="14.25" customHeight="1" x14ac:dyDescent="0.3">
      <c r="A858" s="3" t="s">
        <v>877</v>
      </c>
      <c r="B858" s="3" t="s">
        <v>1021</v>
      </c>
      <c r="C858" s="3" t="s">
        <v>24</v>
      </c>
      <c r="D858" s="13">
        <v>45961</v>
      </c>
      <c r="E858" s="13">
        <v>45963</v>
      </c>
      <c r="F858" s="13">
        <v>45965</v>
      </c>
      <c r="G858" s="13">
        <v>45970</v>
      </c>
      <c r="H858" s="3" t="s">
        <v>13</v>
      </c>
      <c r="J858" s="4">
        <v>45999</v>
      </c>
      <c r="K858" s="3">
        <v>1</v>
      </c>
      <c r="L858" s="18">
        <f t="shared" si="53"/>
        <v>2</v>
      </c>
      <c r="M858">
        <f t="shared" si="54"/>
        <v>2</v>
      </c>
      <c r="N858">
        <f t="shared" si="55"/>
        <v>5</v>
      </c>
      <c r="O858" t="str">
        <f t="shared" si="56"/>
        <v>Detractor</v>
      </c>
    </row>
    <row r="859" spans="1:15" ht="14.25" customHeight="1" x14ac:dyDescent="0.3">
      <c r="A859" s="3" t="s">
        <v>878</v>
      </c>
      <c r="B859" s="3" t="s">
        <v>1021</v>
      </c>
      <c r="C859" s="3" t="s">
        <v>12</v>
      </c>
      <c r="D859" s="13">
        <v>45934</v>
      </c>
      <c r="E859" s="13">
        <v>45937</v>
      </c>
      <c r="F859" s="13">
        <v>45941</v>
      </c>
      <c r="G859" s="13">
        <v>45945</v>
      </c>
      <c r="H859" s="3" t="s">
        <v>13</v>
      </c>
      <c r="J859" s="4">
        <v>45959</v>
      </c>
      <c r="K859" s="3">
        <v>3</v>
      </c>
      <c r="L859" s="18">
        <f t="shared" si="53"/>
        <v>3</v>
      </c>
      <c r="M859">
        <f t="shared" si="54"/>
        <v>4</v>
      </c>
      <c r="N859">
        <f t="shared" si="55"/>
        <v>4</v>
      </c>
      <c r="O859" t="str">
        <f t="shared" si="56"/>
        <v>Detractor</v>
      </c>
    </row>
    <row r="860" spans="1:15" ht="14.25" customHeight="1" x14ac:dyDescent="0.3">
      <c r="A860" s="3" t="s">
        <v>879</v>
      </c>
      <c r="B860" s="3" t="s">
        <v>1022</v>
      </c>
      <c r="C860" s="3" t="s">
        <v>12</v>
      </c>
      <c r="D860" s="13">
        <v>45961</v>
      </c>
      <c r="E860" s="13">
        <v>45966</v>
      </c>
      <c r="F860" s="13">
        <v>45969</v>
      </c>
      <c r="G860" s="13">
        <v>45976</v>
      </c>
      <c r="H860" s="3" t="s">
        <v>13</v>
      </c>
      <c r="J860" s="4">
        <v>45999</v>
      </c>
      <c r="K860" s="3">
        <v>7</v>
      </c>
      <c r="L860" s="18">
        <f t="shared" si="53"/>
        <v>5</v>
      </c>
      <c r="M860">
        <f t="shared" si="54"/>
        <v>3</v>
      </c>
      <c r="N860">
        <f t="shared" si="55"/>
        <v>7</v>
      </c>
      <c r="O860" t="str">
        <f t="shared" si="56"/>
        <v>Passive</v>
      </c>
    </row>
    <row r="861" spans="1:15" ht="14.25" customHeight="1" x14ac:dyDescent="0.3">
      <c r="A861" s="3" t="s">
        <v>880</v>
      </c>
      <c r="B861" s="3" t="s">
        <v>1023</v>
      </c>
      <c r="C861" s="3" t="s">
        <v>24</v>
      </c>
      <c r="D861" s="13">
        <v>45958</v>
      </c>
      <c r="E861" s="13">
        <v>45960</v>
      </c>
      <c r="F861" s="13">
        <v>45962</v>
      </c>
      <c r="G861" s="13">
        <v>45969</v>
      </c>
      <c r="H861" s="3" t="s">
        <v>13</v>
      </c>
      <c r="J861" s="4">
        <v>45982</v>
      </c>
      <c r="K861" s="3">
        <v>4</v>
      </c>
      <c r="L861" s="18">
        <f t="shared" si="53"/>
        <v>2</v>
      </c>
      <c r="M861">
        <f t="shared" si="54"/>
        <v>2</v>
      </c>
      <c r="N861">
        <f t="shared" si="55"/>
        <v>7</v>
      </c>
      <c r="O861" t="str">
        <f t="shared" si="56"/>
        <v>Detractor</v>
      </c>
    </row>
    <row r="862" spans="1:15" ht="14.25" customHeight="1" x14ac:dyDescent="0.3">
      <c r="A862" s="3" t="s">
        <v>881</v>
      </c>
      <c r="B862" s="3" t="s">
        <v>1021</v>
      </c>
      <c r="C862" s="3" t="s">
        <v>12</v>
      </c>
      <c r="D862" s="13">
        <v>45957</v>
      </c>
      <c r="E862" s="13">
        <v>45960</v>
      </c>
      <c r="F862" s="13">
        <v>45964</v>
      </c>
      <c r="G862" s="13">
        <v>45971</v>
      </c>
      <c r="H862" s="3" t="s">
        <v>13</v>
      </c>
      <c r="J862" s="4">
        <v>45997</v>
      </c>
      <c r="K862" s="3">
        <v>2</v>
      </c>
      <c r="L862" s="18">
        <f t="shared" si="53"/>
        <v>3</v>
      </c>
      <c r="M862">
        <f t="shared" si="54"/>
        <v>4</v>
      </c>
      <c r="N862">
        <f t="shared" si="55"/>
        <v>7</v>
      </c>
      <c r="O862" t="str">
        <f t="shared" si="56"/>
        <v>Detractor</v>
      </c>
    </row>
    <row r="863" spans="1:15" ht="14.25" customHeight="1" x14ac:dyDescent="0.3">
      <c r="A863" s="3" t="s">
        <v>882</v>
      </c>
      <c r="B863" s="3" t="s">
        <v>1023</v>
      </c>
      <c r="C863" s="3" t="s">
        <v>12</v>
      </c>
      <c r="D863" s="13">
        <v>45945</v>
      </c>
      <c r="E863" s="13">
        <v>45948</v>
      </c>
      <c r="F863" s="13">
        <v>45951</v>
      </c>
      <c r="G863" s="13">
        <v>45953</v>
      </c>
      <c r="H863" s="3" t="s">
        <v>13</v>
      </c>
      <c r="J863" s="4">
        <v>45982</v>
      </c>
      <c r="K863" s="3">
        <v>5</v>
      </c>
      <c r="L863" s="18">
        <f t="shared" si="53"/>
        <v>3</v>
      </c>
      <c r="M863">
        <f t="shared" si="54"/>
        <v>3</v>
      </c>
      <c r="N863">
        <f t="shared" si="55"/>
        <v>2</v>
      </c>
      <c r="O863" t="str">
        <f t="shared" si="56"/>
        <v>Detractor</v>
      </c>
    </row>
    <row r="864" spans="1:15" ht="14.25" customHeight="1" x14ac:dyDescent="0.3">
      <c r="A864" s="3" t="s">
        <v>883</v>
      </c>
      <c r="B864" s="3" t="s">
        <v>1022</v>
      </c>
      <c r="C864" s="3" t="s">
        <v>24</v>
      </c>
      <c r="D864" s="13">
        <v>45933</v>
      </c>
      <c r="E864" s="13">
        <v>45936</v>
      </c>
      <c r="F864" s="13">
        <v>45939</v>
      </c>
      <c r="G864" s="13">
        <v>45945</v>
      </c>
      <c r="H864" s="3" t="s">
        <v>17</v>
      </c>
      <c r="I864" s="3" t="s">
        <v>56</v>
      </c>
      <c r="L864" s="18">
        <f t="shared" si="53"/>
        <v>3</v>
      </c>
      <c r="M864">
        <f t="shared" si="54"/>
        <v>3</v>
      </c>
      <c r="N864">
        <f t="shared" si="55"/>
        <v>6</v>
      </c>
      <c r="O864" t="str">
        <f t="shared" si="56"/>
        <v>Detractor</v>
      </c>
    </row>
    <row r="865" spans="1:15" ht="14.25" customHeight="1" x14ac:dyDescent="0.3">
      <c r="A865" s="3" t="s">
        <v>884</v>
      </c>
      <c r="B865" s="3" t="s">
        <v>1022</v>
      </c>
      <c r="C865" s="3" t="s">
        <v>12</v>
      </c>
      <c r="D865" s="13">
        <v>45952</v>
      </c>
      <c r="E865" s="13">
        <v>45956</v>
      </c>
      <c r="F865" s="13">
        <v>45960</v>
      </c>
      <c r="G865" s="13">
        <v>45966</v>
      </c>
      <c r="H865" s="3" t="s">
        <v>13</v>
      </c>
      <c r="J865" s="4">
        <v>45979</v>
      </c>
      <c r="K865" s="3">
        <v>9</v>
      </c>
      <c r="L865" s="18">
        <f t="shared" si="53"/>
        <v>4</v>
      </c>
      <c r="M865">
        <f t="shared" si="54"/>
        <v>4</v>
      </c>
      <c r="N865">
        <f t="shared" si="55"/>
        <v>6</v>
      </c>
      <c r="O865" t="str">
        <f t="shared" si="56"/>
        <v>Promoter</v>
      </c>
    </row>
    <row r="866" spans="1:15" ht="14.25" customHeight="1" x14ac:dyDescent="0.3">
      <c r="A866" s="3" t="s">
        <v>885</v>
      </c>
      <c r="B866" s="3" t="s">
        <v>1024</v>
      </c>
      <c r="C866" s="3" t="s">
        <v>24</v>
      </c>
      <c r="D866" s="13">
        <v>45937</v>
      </c>
      <c r="E866" s="13">
        <v>45939</v>
      </c>
      <c r="F866" s="13">
        <v>45944</v>
      </c>
      <c r="G866" s="13">
        <v>45948</v>
      </c>
      <c r="H866" s="3" t="s">
        <v>13</v>
      </c>
      <c r="J866" s="4">
        <v>45967</v>
      </c>
      <c r="K866" s="3">
        <v>4</v>
      </c>
      <c r="L866" s="18">
        <f t="shared" si="53"/>
        <v>2</v>
      </c>
      <c r="M866">
        <f t="shared" si="54"/>
        <v>5</v>
      </c>
      <c r="N866">
        <f t="shared" si="55"/>
        <v>4</v>
      </c>
      <c r="O866" t="str">
        <f t="shared" si="56"/>
        <v>Detractor</v>
      </c>
    </row>
    <row r="867" spans="1:15" ht="14.25" customHeight="1" x14ac:dyDescent="0.3">
      <c r="A867" s="3" t="s">
        <v>886</v>
      </c>
      <c r="B867" s="3" t="s">
        <v>1021</v>
      </c>
      <c r="C867" s="3" t="s">
        <v>16</v>
      </c>
      <c r="D867" s="13">
        <v>45951</v>
      </c>
      <c r="H867" s="3" t="s">
        <v>17</v>
      </c>
      <c r="I867" s="3" t="s">
        <v>20</v>
      </c>
      <c r="M867">
        <f t="shared" si="54"/>
        <v>0</v>
      </c>
      <c r="N867">
        <f t="shared" si="55"/>
        <v>0</v>
      </c>
      <c r="O867" t="str">
        <f t="shared" si="56"/>
        <v>Detractor</v>
      </c>
    </row>
    <row r="868" spans="1:15" ht="14.25" customHeight="1" x14ac:dyDescent="0.3">
      <c r="A868" s="3" t="s">
        <v>887</v>
      </c>
      <c r="B868" s="3" t="s">
        <v>1022</v>
      </c>
      <c r="C868" s="3" t="s">
        <v>12</v>
      </c>
      <c r="D868" s="13">
        <v>45951</v>
      </c>
      <c r="E868" s="13">
        <v>45954</v>
      </c>
      <c r="F868" s="13">
        <v>45956</v>
      </c>
      <c r="G868" s="13">
        <v>45958</v>
      </c>
      <c r="H868" s="3" t="s">
        <v>13</v>
      </c>
      <c r="J868" s="4">
        <v>45971</v>
      </c>
      <c r="K868" s="3">
        <v>9</v>
      </c>
      <c r="L868" s="18">
        <f t="shared" si="53"/>
        <v>3</v>
      </c>
      <c r="M868">
        <f t="shared" si="54"/>
        <v>2</v>
      </c>
      <c r="N868">
        <f t="shared" si="55"/>
        <v>2</v>
      </c>
      <c r="O868" t="str">
        <f t="shared" si="56"/>
        <v>Promoter</v>
      </c>
    </row>
    <row r="869" spans="1:15" ht="14.25" customHeight="1" x14ac:dyDescent="0.3">
      <c r="A869" s="3" t="s">
        <v>888</v>
      </c>
      <c r="B869" s="3" t="s">
        <v>1024</v>
      </c>
      <c r="C869" s="3" t="s">
        <v>24</v>
      </c>
      <c r="D869" s="13">
        <v>45950</v>
      </c>
      <c r="E869" s="13">
        <v>45955</v>
      </c>
      <c r="F869" s="13">
        <v>45958</v>
      </c>
      <c r="G869" s="13">
        <v>45960</v>
      </c>
      <c r="H869" s="3" t="s">
        <v>13</v>
      </c>
      <c r="J869" s="4">
        <v>45973</v>
      </c>
      <c r="K869" s="3">
        <v>9</v>
      </c>
      <c r="L869" s="18">
        <f t="shared" si="53"/>
        <v>5</v>
      </c>
      <c r="M869">
        <f t="shared" si="54"/>
        <v>3</v>
      </c>
      <c r="N869">
        <f t="shared" si="55"/>
        <v>2</v>
      </c>
      <c r="O869" t="str">
        <f t="shared" si="56"/>
        <v>Promoter</v>
      </c>
    </row>
    <row r="870" spans="1:15" ht="14.25" customHeight="1" x14ac:dyDescent="0.3">
      <c r="A870" s="3" t="s">
        <v>889</v>
      </c>
      <c r="B870" s="3" t="s">
        <v>1021</v>
      </c>
      <c r="C870" s="3" t="s">
        <v>12</v>
      </c>
      <c r="D870" s="13">
        <v>45931</v>
      </c>
      <c r="E870" s="13">
        <v>45936</v>
      </c>
      <c r="F870" s="13">
        <v>45940</v>
      </c>
      <c r="G870" s="13">
        <v>45942</v>
      </c>
      <c r="H870" s="3" t="s">
        <v>13</v>
      </c>
      <c r="J870" s="4">
        <v>45967</v>
      </c>
      <c r="K870" s="3">
        <v>5</v>
      </c>
      <c r="L870" s="18">
        <f t="shared" si="53"/>
        <v>5</v>
      </c>
      <c r="M870">
        <f t="shared" si="54"/>
        <v>4</v>
      </c>
      <c r="N870">
        <f t="shared" si="55"/>
        <v>2</v>
      </c>
      <c r="O870" t="str">
        <f t="shared" si="56"/>
        <v>Detractor</v>
      </c>
    </row>
    <row r="871" spans="1:15" ht="14.25" customHeight="1" x14ac:dyDescent="0.3">
      <c r="A871" s="3" t="s">
        <v>890</v>
      </c>
      <c r="B871" s="3" t="s">
        <v>1022</v>
      </c>
      <c r="C871" s="3" t="s">
        <v>12</v>
      </c>
      <c r="D871" s="13">
        <v>45932</v>
      </c>
      <c r="E871" s="13">
        <v>45933</v>
      </c>
      <c r="F871" s="13">
        <v>45936</v>
      </c>
      <c r="G871" s="13">
        <v>45939</v>
      </c>
      <c r="H871" s="3" t="s">
        <v>13</v>
      </c>
      <c r="J871" s="4">
        <v>45955</v>
      </c>
      <c r="K871" s="3">
        <v>1</v>
      </c>
      <c r="L871" s="18">
        <f t="shared" si="53"/>
        <v>1</v>
      </c>
      <c r="M871">
        <f t="shared" si="54"/>
        <v>3</v>
      </c>
      <c r="N871">
        <f t="shared" si="55"/>
        <v>3</v>
      </c>
      <c r="O871" t="str">
        <f t="shared" si="56"/>
        <v>Detractor</v>
      </c>
    </row>
    <row r="872" spans="1:15" ht="14.25" customHeight="1" x14ac:dyDescent="0.3">
      <c r="A872" s="3" t="s">
        <v>891</v>
      </c>
      <c r="B872" s="3" t="s">
        <v>1022</v>
      </c>
      <c r="C872" s="3" t="s">
        <v>12</v>
      </c>
      <c r="D872" s="13">
        <v>45956</v>
      </c>
      <c r="E872" s="13">
        <v>45959</v>
      </c>
      <c r="F872" s="13">
        <v>45963</v>
      </c>
      <c r="G872" s="13">
        <v>45970</v>
      </c>
      <c r="H872" s="3" t="s">
        <v>13</v>
      </c>
      <c r="J872" s="4">
        <v>45999</v>
      </c>
      <c r="K872" s="3">
        <v>8</v>
      </c>
      <c r="L872" s="18">
        <f t="shared" si="53"/>
        <v>3</v>
      </c>
      <c r="M872">
        <f t="shared" si="54"/>
        <v>4</v>
      </c>
      <c r="N872">
        <f t="shared" si="55"/>
        <v>7</v>
      </c>
      <c r="O872" t="str">
        <f t="shared" si="56"/>
        <v>Passive</v>
      </c>
    </row>
    <row r="873" spans="1:15" ht="14.25" customHeight="1" x14ac:dyDescent="0.3">
      <c r="A873" s="3" t="s">
        <v>892</v>
      </c>
      <c r="B873" s="3" t="s">
        <v>1021</v>
      </c>
      <c r="C873" s="3" t="s">
        <v>12</v>
      </c>
      <c r="D873" s="13">
        <v>45941</v>
      </c>
      <c r="E873" s="13">
        <v>45943</v>
      </c>
      <c r="F873" s="13">
        <v>45946</v>
      </c>
      <c r="G873" s="13">
        <v>45951</v>
      </c>
      <c r="H873" s="3" t="s">
        <v>13</v>
      </c>
      <c r="J873" s="4">
        <v>45967</v>
      </c>
      <c r="K873" s="3">
        <v>7</v>
      </c>
      <c r="L873" s="18">
        <f t="shared" si="53"/>
        <v>2</v>
      </c>
      <c r="M873">
        <f t="shared" si="54"/>
        <v>3</v>
      </c>
      <c r="N873">
        <f t="shared" si="55"/>
        <v>5</v>
      </c>
      <c r="O873" t="str">
        <f t="shared" si="56"/>
        <v>Passive</v>
      </c>
    </row>
    <row r="874" spans="1:15" ht="14.25" customHeight="1" x14ac:dyDescent="0.3">
      <c r="A874" s="3" t="s">
        <v>893</v>
      </c>
      <c r="B874" s="3" t="s">
        <v>1021</v>
      </c>
      <c r="C874" s="3" t="s">
        <v>12</v>
      </c>
      <c r="D874" s="13">
        <v>45938</v>
      </c>
      <c r="E874" s="13">
        <v>45942</v>
      </c>
      <c r="F874" s="13">
        <v>45943</v>
      </c>
      <c r="G874" s="13">
        <v>45946</v>
      </c>
      <c r="H874" s="3" t="s">
        <v>13</v>
      </c>
      <c r="J874" s="4">
        <v>45964</v>
      </c>
      <c r="K874" s="3">
        <v>5</v>
      </c>
      <c r="L874" s="18">
        <f t="shared" si="53"/>
        <v>4</v>
      </c>
      <c r="M874">
        <f t="shared" si="54"/>
        <v>1</v>
      </c>
      <c r="N874">
        <f t="shared" si="55"/>
        <v>3</v>
      </c>
      <c r="O874" t="str">
        <f t="shared" si="56"/>
        <v>Detractor</v>
      </c>
    </row>
    <row r="875" spans="1:15" ht="14.25" customHeight="1" x14ac:dyDescent="0.3">
      <c r="A875" s="3" t="s">
        <v>894</v>
      </c>
      <c r="B875" s="3" t="s">
        <v>1021</v>
      </c>
      <c r="C875" s="3" t="s">
        <v>24</v>
      </c>
      <c r="D875" s="13">
        <v>45935</v>
      </c>
      <c r="E875" s="13">
        <v>45936</v>
      </c>
      <c r="F875" s="13">
        <v>45941</v>
      </c>
      <c r="G875" s="13">
        <v>45943</v>
      </c>
      <c r="H875" s="3" t="s">
        <v>13</v>
      </c>
      <c r="J875" s="4">
        <v>45969</v>
      </c>
      <c r="K875" s="3">
        <v>4</v>
      </c>
      <c r="L875" s="18">
        <f t="shared" si="53"/>
        <v>1</v>
      </c>
      <c r="M875">
        <f t="shared" si="54"/>
        <v>5</v>
      </c>
      <c r="N875">
        <f t="shared" si="55"/>
        <v>2</v>
      </c>
      <c r="O875" t="str">
        <f t="shared" si="56"/>
        <v>Detractor</v>
      </c>
    </row>
    <row r="876" spans="1:15" ht="14.25" customHeight="1" x14ac:dyDescent="0.3">
      <c r="A876" s="3" t="s">
        <v>895</v>
      </c>
      <c r="B876" s="3" t="s">
        <v>1022</v>
      </c>
      <c r="C876" s="3" t="s">
        <v>24</v>
      </c>
      <c r="D876" s="13">
        <v>45956</v>
      </c>
      <c r="E876" s="13">
        <v>45959</v>
      </c>
      <c r="F876" s="13">
        <v>45961</v>
      </c>
      <c r="G876" s="13">
        <v>45965</v>
      </c>
      <c r="H876" s="3" t="s">
        <v>13</v>
      </c>
      <c r="J876" s="4">
        <v>45981</v>
      </c>
      <c r="K876" s="3">
        <v>3</v>
      </c>
      <c r="L876" s="18">
        <f t="shared" si="53"/>
        <v>3</v>
      </c>
      <c r="M876">
        <f t="shared" si="54"/>
        <v>2</v>
      </c>
      <c r="N876">
        <f t="shared" si="55"/>
        <v>4</v>
      </c>
      <c r="O876" t="str">
        <f t="shared" si="56"/>
        <v>Detractor</v>
      </c>
    </row>
    <row r="877" spans="1:15" ht="14.25" customHeight="1" x14ac:dyDescent="0.3">
      <c r="A877" s="3" t="s">
        <v>896</v>
      </c>
      <c r="B877" s="3" t="s">
        <v>1022</v>
      </c>
      <c r="C877" s="3" t="s">
        <v>24</v>
      </c>
      <c r="D877" s="13">
        <v>45949</v>
      </c>
      <c r="E877" s="13">
        <v>45953</v>
      </c>
      <c r="F877" s="13">
        <v>45958</v>
      </c>
      <c r="G877" s="13">
        <v>45960</v>
      </c>
      <c r="H877" s="3" t="s">
        <v>13</v>
      </c>
      <c r="J877" s="4">
        <v>45981</v>
      </c>
      <c r="K877" s="3">
        <v>6</v>
      </c>
      <c r="L877" s="18">
        <f t="shared" si="53"/>
        <v>4</v>
      </c>
      <c r="M877">
        <f t="shared" si="54"/>
        <v>5</v>
      </c>
      <c r="N877">
        <f t="shared" si="55"/>
        <v>2</v>
      </c>
      <c r="O877" t="str">
        <f t="shared" si="56"/>
        <v>Detractor</v>
      </c>
    </row>
    <row r="878" spans="1:15" ht="14.25" customHeight="1" x14ac:dyDescent="0.3">
      <c r="A878" s="3" t="s">
        <v>897</v>
      </c>
      <c r="B878" s="3" t="s">
        <v>1024</v>
      </c>
      <c r="C878" s="3" t="s">
        <v>12</v>
      </c>
      <c r="D878" s="13">
        <v>45937</v>
      </c>
      <c r="E878" s="13">
        <v>45939</v>
      </c>
      <c r="F878" s="13">
        <v>45944</v>
      </c>
      <c r="G878" s="13">
        <v>45946</v>
      </c>
      <c r="H878" s="3" t="s">
        <v>13</v>
      </c>
      <c r="J878" s="4">
        <v>45969</v>
      </c>
      <c r="K878" s="3">
        <v>2</v>
      </c>
      <c r="L878" s="18">
        <f t="shared" si="53"/>
        <v>2</v>
      </c>
      <c r="M878">
        <f t="shared" si="54"/>
        <v>5</v>
      </c>
      <c r="N878">
        <f t="shared" si="55"/>
        <v>2</v>
      </c>
      <c r="O878" t="str">
        <f t="shared" si="56"/>
        <v>Detractor</v>
      </c>
    </row>
    <row r="879" spans="1:15" ht="14.25" customHeight="1" x14ac:dyDescent="0.3">
      <c r="A879" s="3" t="s">
        <v>898</v>
      </c>
      <c r="B879" s="3" t="s">
        <v>1023</v>
      </c>
      <c r="C879" s="3" t="s">
        <v>16</v>
      </c>
      <c r="D879" s="13">
        <v>45933</v>
      </c>
      <c r="H879" s="3" t="s">
        <v>17</v>
      </c>
      <c r="I879" s="3" t="s">
        <v>56</v>
      </c>
      <c r="M879">
        <f t="shared" si="54"/>
        <v>0</v>
      </c>
      <c r="N879">
        <f t="shared" si="55"/>
        <v>0</v>
      </c>
      <c r="O879" t="str">
        <f t="shared" si="56"/>
        <v>Detractor</v>
      </c>
    </row>
    <row r="880" spans="1:15" ht="14.25" customHeight="1" x14ac:dyDescent="0.3">
      <c r="A880" s="3" t="s">
        <v>899</v>
      </c>
      <c r="B880" s="3" t="s">
        <v>1021</v>
      </c>
      <c r="C880" s="3" t="s">
        <v>12</v>
      </c>
      <c r="D880" s="13">
        <v>45957</v>
      </c>
      <c r="E880" s="13">
        <v>45959</v>
      </c>
      <c r="F880" s="13">
        <v>45961</v>
      </c>
      <c r="G880" s="13">
        <v>45966</v>
      </c>
      <c r="H880" s="3" t="s">
        <v>13</v>
      </c>
      <c r="J880" s="4">
        <v>45985</v>
      </c>
      <c r="K880" s="3">
        <v>4</v>
      </c>
      <c r="L880" s="18">
        <f t="shared" si="53"/>
        <v>2</v>
      </c>
      <c r="M880">
        <f t="shared" si="54"/>
        <v>2</v>
      </c>
      <c r="N880">
        <f t="shared" si="55"/>
        <v>5</v>
      </c>
      <c r="O880" t="str">
        <f t="shared" si="56"/>
        <v>Detractor</v>
      </c>
    </row>
    <row r="881" spans="1:15" ht="14.25" customHeight="1" x14ac:dyDescent="0.3">
      <c r="A881" s="3" t="s">
        <v>900</v>
      </c>
      <c r="B881" s="3" t="s">
        <v>1022</v>
      </c>
      <c r="C881" s="3" t="s">
        <v>24</v>
      </c>
      <c r="D881" s="13">
        <v>45955</v>
      </c>
      <c r="E881" s="13">
        <v>45956</v>
      </c>
      <c r="F881" s="13">
        <v>45961</v>
      </c>
      <c r="G881" s="13">
        <v>45963</v>
      </c>
      <c r="H881" s="3" t="s">
        <v>13</v>
      </c>
      <c r="J881" s="4">
        <v>45978</v>
      </c>
      <c r="K881" s="3">
        <v>4</v>
      </c>
      <c r="L881" s="18">
        <f t="shared" si="53"/>
        <v>1</v>
      </c>
      <c r="M881">
        <f t="shared" si="54"/>
        <v>5</v>
      </c>
      <c r="N881">
        <f t="shared" si="55"/>
        <v>2</v>
      </c>
      <c r="O881" t="str">
        <f t="shared" si="56"/>
        <v>Detractor</v>
      </c>
    </row>
    <row r="882" spans="1:15" ht="14.25" customHeight="1" x14ac:dyDescent="0.3">
      <c r="A882" s="3" t="s">
        <v>901</v>
      </c>
      <c r="B882" s="3" t="s">
        <v>1022</v>
      </c>
      <c r="C882" s="3" t="s">
        <v>12</v>
      </c>
      <c r="D882" s="13">
        <v>45948</v>
      </c>
      <c r="E882" s="13">
        <v>45949</v>
      </c>
      <c r="F882" s="13">
        <v>45950</v>
      </c>
      <c r="G882" s="13">
        <v>45953</v>
      </c>
      <c r="H882" s="3" t="s">
        <v>13</v>
      </c>
      <c r="J882" s="4">
        <v>45964</v>
      </c>
      <c r="K882" s="3">
        <v>2</v>
      </c>
      <c r="L882" s="18">
        <f t="shared" si="53"/>
        <v>1</v>
      </c>
      <c r="M882">
        <f t="shared" si="54"/>
        <v>1</v>
      </c>
      <c r="N882">
        <f t="shared" si="55"/>
        <v>3</v>
      </c>
      <c r="O882" t="str">
        <f t="shared" si="56"/>
        <v>Detractor</v>
      </c>
    </row>
    <row r="883" spans="1:15" ht="14.25" customHeight="1" x14ac:dyDescent="0.3">
      <c r="A883" s="3" t="s">
        <v>902</v>
      </c>
      <c r="B883" s="3" t="s">
        <v>1021</v>
      </c>
      <c r="C883" s="3" t="s">
        <v>16</v>
      </c>
      <c r="D883" s="13">
        <v>45937</v>
      </c>
      <c r="H883" s="3" t="s">
        <v>17</v>
      </c>
      <c r="I883" s="3" t="s">
        <v>56</v>
      </c>
      <c r="M883">
        <f t="shared" si="54"/>
        <v>0</v>
      </c>
      <c r="N883">
        <f t="shared" si="55"/>
        <v>0</v>
      </c>
      <c r="O883" t="str">
        <f t="shared" si="56"/>
        <v>Detractor</v>
      </c>
    </row>
    <row r="884" spans="1:15" ht="14.25" customHeight="1" x14ac:dyDescent="0.3">
      <c r="A884" s="3" t="s">
        <v>903</v>
      </c>
      <c r="B884" s="3" t="s">
        <v>1023</v>
      </c>
      <c r="C884" s="3" t="s">
        <v>12</v>
      </c>
      <c r="D884" s="13">
        <v>45949</v>
      </c>
      <c r="E884" s="13">
        <v>45952</v>
      </c>
      <c r="F884" s="13">
        <v>45956</v>
      </c>
      <c r="G884" s="13">
        <v>45962</v>
      </c>
      <c r="H884" s="3" t="s">
        <v>13</v>
      </c>
      <c r="J884" s="4">
        <v>45989</v>
      </c>
      <c r="K884" s="3">
        <v>4</v>
      </c>
      <c r="L884" s="18">
        <f t="shared" si="53"/>
        <v>3</v>
      </c>
      <c r="M884">
        <f t="shared" si="54"/>
        <v>4</v>
      </c>
      <c r="N884">
        <f t="shared" si="55"/>
        <v>6</v>
      </c>
      <c r="O884" t="str">
        <f t="shared" si="56"/>
        <v>Detractor</v>
      </c>
    </row>
    <row r="885" spans="1:15" ht="14.25" customHeight="1" x14ac:dyDescent="0.3">
      <c r="A885" s="3" t="s">
        <v>904</v>
      </c>
      <c r="B885" s="3" t="s">
        <v>1021</v>
      </c>
      <c r="C885" s="3" t="s">
        <v>16</v>
      </c>
      <c r="D885" s="13">
        <v>45937</v>
      </c>
      <c r="H885" s="3" t="s">
        <v>17</v>
      </c>
      <c r="I885" s="3" t="s">
        <v>20</v>
      </c>
      <c r="M885">
        <f t="shared" si="54"/>
        <v>0</v>
      </c>
      <c r="N885">
        <f t="shared" si="55"/>
        <v>0</v>
      </c>
      <c r="O885" t="str">
        <f t="shared" si="56"/>
        <v>Detractor</v>
      </c>
    </row>
    <row r="886" spans="1:15" ht="14.25" customHeight="1" x14ac:dyDescent="0.3">
      <c r="A886" s="3" t="s">
        <v>905</v>
      </c>
      <c r="B886" s="3" t="s">
        <v>1023</v>
      </c>
      <c r="C886" s="3" t="s">
        <v>24</v>
      </c>
      <c r="D886" s="13">
        <v>45957</v>
      </c>
      <c r="E886" s="13">
        <v>45961</v>
      </c>
      <c r="F886" s="13">
        <v>45963</v>
      </c>
      <c r="G886" s="13">
        <v>45968</v>
      </c>
      <c r="H886" s="3" t="s">
        <v>13</v>
      </c>
      <c r="J886" s="4">
        <v>45993</v>
      </c>
      <c r="K886" s="3">
        <v>7</v>
      </c>
      <c r="L886" s="18">
        <f t="shared" si="53"/>
        <v>4</v>
      </c>
      <c r="M886">
        <f t="shared" si="54"/>
        <v>2</v>
      </c>
      <c r="N886">
        <f t="shared" si="55"/>
        <v>5</v>
      </c>
      <c r="O886" t="str">
        <f t="shared" si="56"/>
        <v>Passive</v>
      </c>
    </row>
    <row r="887" spans="1:15" ht="14.25" customHeight="1" x14ac:dyDescent="0.3">
      <c r="A887" s="3" t="s">
        <v>906</v>
      </c>
      <c r="B887" s="3" t="s">
        <v>1022</v>
      </c>
      <c r="C887" s="3" t="s">
        <v>24</v>
      </c>
      <c r="D887" s="13">
        <v>45958</v>
      </c>
      <c r="E887" s="13">
        <v>45963</v>
      </c>
      <c r="F887" s="13">
        <v>45967</v>
      </c>
      <c r="G887" s="13">
        <v>45974</v>
      </c>
      <c r="H887" s="3" t="s">
        <v>13</v>
      </c>
      <c r="J887" s="4">
        <v>45990</v>
      </c>
      <c r="K887" s="3">
        <v>3</v>
      </c>
      <c r="L887" s="18">
        <f t="shared" si="53"/>
        <v>5</v>
      </c>
      <c r="M887">
        <f t="shared" si="54"/>
        <v>4</v>
      </c>
      <c r="N887">
        <f t="shared" si="55"/>
        <v>7</v>
      </c>
      <c r="O887" t="str">
        <f t="shared" si="56"/>
        <v>Detractor</v>
      </c>
    </row>
    <row r="888" spans="1:15" ht="14.25" customHeight="1" x14ac:dyDescent="0.3">
      <c r="A888" s="3" t="s">
        <v>907</v>
      </c>
      <c r="B888" s="3" t="s">
        <v>1023</v>
      </c>
      <c r="C888" s="3" t="s">
        <v>16</v>
      </c>
      <c r="D888" s="13">
        <v>45938</v>
      </c>
      <c r="H888" s="3" t="s">
        <v>17</v>
      </c>
      <c r="I888" s="3" t="s">
        <v>26</v>
      </c>
      <c r="M888">
        <f t="shared" si="54"/>
        <v>0</v>
      </c>
      <c r="N888">
        <f t="shared" si="55"/>
        <v>0</v>
      </c>
      <c r="O888" t="str">
        <f t="shared" si="56"/>
        <v>Detractor</v>
      </c>
    </row>
    <row r="889" spans="1:15" ht="14.25" customHeight="1" x14ac:dyDescent="0.3">
      <c r="A889" s="3" t="s">
        <v>908</v>
      </c>
      <c r="B889" s="3" t="s">
        <v>1024</v>
      </c>
      <c r="C889" s="3" t="s">
        <v>12</v>
      </c>
      <c r="D889" s="13">
        <v>45941</v>
      </c>
      <c r="E889" s="13">
        <v>45945</v>
      </c>
      <c r="F889" s="13">
        <v>45948</v>
      </c>
      <c r="G889" s="13">
        <v>45953</v>
      </c>
      <c r="H889" s="3" t="s">
        <v>13</v>
      </c>
      <c r="J889" s="4">
        <v>45978</v>
      </c>
      <c r="K889" s="3">
        <v>7</v>
      </c>
      <c r="L889" s="18">
        <f t="shared" si="53"/>
        <v>4</v>
      </c>
      <c r="M889">
        <f t="shared" si="54"/>
        <v>3</v>
      </c>
      <c r="N889">
        <f t="shared" si="55"/>
        <v>5</v>
      </c>
      <c r="O889" t="str">
        <f t="shared" si="56"/>
        <v>Passive</v>
      </c>
    </row>
    <row r="890" spans="1:15" ht="14.25" customHeight="1" x14ac:dyDescent="0.3">
      <c r="A890" s="3" t="s">
        <v>909</v>
      </c>
      <c r="B890" s="3" t="s">
        <v>1022</v>
      </c>
      <c r="C890" s="3" t="s">
        <v>12</v>
      </c>
      <c r="D890" s="13">
        <v>45955</v>
      </c>
      <c r="E890" s="13">
        <v>45957</v>
      </c>
      <c r="F890" s="13">
        <v>45958</v>
      </c>
      <c r="G890" s="13">
        <v>45963</v>
      </c>
      <c r="H890" s="3" t="s">
        <v>13</v>
      </c>
      <c r="J890" s="4">
        <v>45983</v>
      </c>
      <c r="K890" s="3">
        <v>9</v>
      </c>
      <c r="L890" s="18">
        <f t="shared" si="53"/>
        <v>2</v>
      </c>
      <c r="M890">
        <f t="shared" si="54"/>
        <v>1</v>
      </c>
      <c r="N890">
        <f t="shared" si="55"/>
        <v>5</v>
      </c>
      <c r="O890" t="str">
        <f t="shared" si="56"/>
        <v>Promoter</v>
      </c>
    </row>
    <row r="891" spans="1:15" ht="14.25" customHeight="1" x14ac:dyDescent="0.3">
      <c r="A891" s="3" t="s">
        <v>910</v>
      </c>
      <c r="B891" s="3" t="s">
        <v>1024</v>
      </c>
      <c r="C891" s="3" t="s">
        <v>12</v>
      </c>
      <c r="D891" s="13">
        <v>45935</v>
      </c>
      <c r="E891" s="13">
        <v>45937</v>
      </c>
      <c r="F891" s="13">
        <v>45941</v>
      </c>
      <c r="G891" s="13">
        <v>45943</v>
      </c>
      <c r="H891" s="3" t="s">
        <v>13</v>
      </c>
      <c r="J891" s="4">
        <v>45960</v>
      </c>
      <c r="K891" s="3">
        <v>4</v>
      </c>
      <c r="L891" s="18">
        <f t="shared" si="53"/>
        <v>2</v>
      </c>
      <c r="M891">
        <f t="shared" si="54"/>
        <v>4</v>
      </c>
      <c r="N891">
        <f t="shared" si="55"/>
        <v>2</v>
      </c>
      <c r="O891" t="str">
        <f t="shared" si="56"/>
        <v>Detractor</v>
      </c>
    </row>
    <row r="892" spans="1:15" ht="14.25" customHeight="1" x14ac:dyDescent="0.3">
      <c r="A892" s="3" t="s">
        <v>911</v>
      </c>
      <c r="B892" s="3" t="s">
        <v>1021</v>
      </c>
      <c r="C892" s="3" t="s">
        <v>16</v>
      </c>
      <c r="D892" s="13">
        <v>45956</v>
      </c>
      <c r="H892" s="3" t="s">
        <v>17</v>
      </c>
      <c r="I892" s="3" t="s">
        <v>26</v>
      </c>
      <c r="M892">
        <f t="shared" si="54"/>
        <v>0</v>
      </c>
      <c r="N892">
        <f t="shared" si="55"/>
        <v>0</v>
      </c>
      <c r="O892" t="str">
        <f t="shared" si="56"/>
        <v>Detractor</v>
      </c>
    </row>
    <row r="893" spans="1:15" ht="14.25" customHeight="1" x14ac:dyDescent="0.3">
      <c r="A893" s="3" t="s">
        <v>912</v>
      </c>
      <c r="B893" s="3" t="s">
        <v>1021</v>
      </c>
      <c r="C893" s="3" t="s">
        <v>12</v>
      </c>
      <c r="D893" s="13">
        <v>45959</v>
      </c>
      <c r="E893" s="13">
        <v>45962</v>
      </c>
      <c r="F893" s="13">
        <v>45966</v>
      </c>
      <c r="G893" s="13">
        <v>45971</v>
      </c>
      <c r="H893" s="3" t="s">
        <v>13</v>
      </c>
      <c r="J893" s="4">
        <v>45981</v>
      </c>
      <c r="K893" s="3">
        <v>7</v>
      </c>
      <c r="L893" s="18">
        <f t="shared" si="53"/>
        <v>3</v>
      </c>
      <c r="M893">
        <f t="shared" si="54"/>
        <v>4</v>
      </c>
      <c r="N893">
        <f t="shared" si="55"/>
        <v>5</v>
      </c>
      <c r="O893" t="str">
        <f t="shared" si="56"/>
        <v>Passive</v>
      </c>
    </row>
    <row r="894" spans="1:15" ht="14.25" customHeight="1" x14ac:dyDescent="0.3">
      <c r="A894" s="3" t="s">
        <v>913</v>
      </c>
      <c r="B894" s="3" t="s">
        <v>1021</v>
      </c>
      <c r="C894" s="3" t="s">
        <v>12</v>
      </c>
      <c r="D894" s="13">
        <v>45950</v>
      </c>
      <c r="E894" s="13">
        <v>45955</v>
      </c>
      <c r="F894" s="13">
        <v>45957</v>
      </c>
      <c r="G894" s="13">
        <v>45964</v>
      </c>
      <c r="H894" s="3" t="s">
        <v>13</v>
      </c>
      <c r="J894" s="4">
        <v>45974</v>
      </c>
      <c r="K894" s="3">
        <v>7</v>
      </c>
      <c r="L894" s="18">
        <f t="shared" si="53"/>
        <v>5</v>
      </c>
      <c r="M894">
        <f t="shared" si="54"/>
        <v>2</v>
      </c>
      <c r="N894">
        <f t="shared" si="55"/>
        <v>7</v>
      </c>
      <c r="O894" t="str">
        <f t="shared" si="56"/>
        <v>Passive</v>
      </c>
    </row>
    <row r="895" spans="1:15" ht="14.25" customHeight="1" x14ac:dyDescent="0.3">
      <c r="A895" s="3" t="s">
        <v>914</v>
      </c>
      <c r="B895" s="3" t="s">
        <v>1023</v>
      </c>
      <c r="C895" s="3" t="s">
        <v>12</v>
      </c>
      <c r="D895" s="13">
        <v>45931</v>
      </c>
      <c r="E895" s="13">
        <v>45934</v>
      </c>
      <c r="F895" s="13">
        <v>45937</v>
      </c>
      <c r="G895" s="13">
        <v>45942</v>
      </c>
      <c r="H895" s="3" t="s">
        <v>13</v>
      </c>
      <c r="J895" s="4">
        <v>45954</v>
      </c>
      <c r="K895" s="3">
        <v>7</v>
      </c>
      <c r="L895" s="18">
        <f t="shared" si="53"/>
        <v>3</v>
      </c>
      <c r="M895">
        <f t="shared" si="54"/>
        <v>3</v>
      </c>
      <c r="N895">
        <f t="shared" si="55"/>
        <v>5</v>
      </c>
      <c r="O895" t="str">
        <f t="shared" si="56"/>
        <v>Passive</v>
      </c>
    </row>
    <row r="896" spans="1:15" ht="14.25" customHeight="1" x14ac:dyDescent="0.3">
      <c r="A896" s="3" t="s">
        <v>915</v>
      </c>
      <c r="B896" s="3" t="s">
        <v>1022</v>
      </c>
      <c r="C896" s="3" t="s">
        <v>12</v>
      </c>
      <c r="D896" s="13">
        <v>45939</v>
      </c>
      <c r="E896" s="13">
        <v>45941</v>
      </c>
      <c r="F896" s="13">
        <v>45943</v>
      </c>
      <c r="G896" s="13">
        <v>45946</v>
      </c>
      <c r="H896" s="3" t="s">
        <v>13</v>
      </c>
      <c r="J896" s="4">
        <v>45959</v>
      </c>
      <c r="K896" s="3">
        <v>1</v>
      </c>
      <c r="L896" s="18">
        <f t="shared" si="53"/>
        <v>2</v>
      </c>
      <c r="M896">
        <f t="shared" si="54"/>
        <v>2</v>
      </c>
      <c r="N896">
        <f t="shared" si="55"/>
        <v>3</v>
      </c>
      <c r="O896" t="str">
        <f t="shared" si="56"/>
        <v>Detractor</v>
      </c>
    </row>
    <row r="897" spans="1:15" ht="14.25" customHeight="1" x14ac:dyDescent="0.3">
      <c r="A897" s="3" t="s">
        <v>916</v>
      </c>
      <c r="B897" s="3" t="s">
        <v>1021</v>
      </c>
      <c r="C897" s="3" t="s">
        <v>12</v>
      </c>
      <c r="D897" s="13">
        <v>45958</v>
      </c>
      <c r="E897" s="13">
        <v>45960</v>
      </c>
      <c r="F897" s="13">
        <v>45963</v>
      </c>
      <c r="G897" s="13">
        <v>45967</v>
      </c>
      <c r="H897" s="3" t="s">
        <v>17</v>
      </c>
      <c r="I897" s="3" t="s">
        <v>94</v>
      </c>
      <c r="L897" s="18">
        <f t="shared" si="53"/>
        <v>2</v>
      </c>
      <c r="M897">
        <f t="shared" si="54"/>
        <v>3</v>
      </c>
      <c r="N897">
        <f t="shared" si="55"/>
        <v>4</v>
      </c>
      <c r="O897" t="str">
        <f t="shared" si="56"/>
        <v>Detractor</v>
      </c>
    </row>
    <row r="898" spans="1:15" ht="14.25" customHeight="1" x14ac:dyDescent="0.3">
      <c r="A898" s="3" t="s">
        <v>917</v>
      </c>
      <c r="B898" s="3" t="s">
        <v>1021</v>
      </c>
      <c r="C898" s="3" t="s">
        <v>16</v>
      </c>
      <c r="D898" s="13">
        <v>45935</v>
      </c>
      <c r="H898" s="3" t="s">
        <v>17</v>
      </c>
      <c r="I898" s="3" t="s">
        <v>94</v>
      </c>
      <c r="M898">
        <f t="shared" si="54"/>
        <v>0</v>
      </c>
      <c r="N898">
        <f t="shared" si="55"/>
        <v>0</v>
      </c>
      <c r="O898" t="str">
        <f t="shared" si="56"/>
        <v>Detractor</v>
      </c>
    </row>
    <row r="899" spans="1:15" ht="14.25" customHeight="1" x14ac:dyDescent="0.3">
      <c r="A899" s="3" t="s">
        <v>918</v>
      </c>
      <c r="B899" s="3" t="s">
        <v>1022</v>
      </c>
      <c r="C899" s="3" t="s">
        <v>16</v>
      </c>
      <c r="D899" s="13">
        <v>45935</v>
      </c>
      <c r="H899" s="3" t="s">
        <v>17</v>
      </c>
      <c r="I899" s="3" t="s">
        <v>26</v>
      </c>
      <c r="M899">
        <f t="shared" ref="M899:M962" si="57">F899-E899</f>
        <v>0</v>
      </c>
      <c r="N899">
        <f t="shared" ref="N899:N962" si="58">G899-F899</f>
        <v>0</v>
      </c>
      <c r="O899" t="str">
        <f t="shared" ref="O899:O962" si="59">IF(K899&gt;=9,"Promoter",IF(K899&lt;=6,"Detractor","Passive"))</f>
        <v>Detractor</v>
      </c>
    </row>
    <row r="900" spans="1:15" ht="14.25" customHeight="1" x14ac:dyDescent="0.3">
      <c r="A900" s="3" t="s">
        <v>919</v>
      </c>
      <c r="B900" s="3" t="s">
        <v>1021</v>
      </c>
      <c r="C900" s="3" t="s">
        <v>16</v>
      </c>
      <c r="D900" s="13">
        <v>45948</v>
      </c>
      <c r="H900" s="3" t="s">
        <v>17</v>
      </c>
      <c r="I900" s="3" t="s">
        <v>18</v>
      </c>
      <c r="M900">
        <f t="shared" si="57"/>
        <v>0</v>
      </c>
      <c r="N900">
        <f t="shared" si="58"/>
        <v>0</v>
      </c>
      <c r="O900" t="str">
        <f t="shared" si="59"/>
        <v>Detractor</v>
      </c>
    </row>
    <row r="901" spans="1:15" ht="14.25" customHeight="1" x14ac:dyDescent="0.3">
      <c r="A901" s="3" t="s">
        <v>920</v>
      </c>
      <c r="B901" s="3" t="s">
        <v>1024</v>
      </c>
      <c r="C901" s="3" t="s">
        <v>24</v>
      </c>
      <c r="D901" s="13">
        <v>45939</v>
      </c>
      <c r="E901" s="13">
        <v>45943</v>
      </c>
      <c r="F901" s="13">
        <v>45945</v>
      </c>
      <c r="G901" s="13">
        <v>45948</v>
      </c>
      <c r="H901" s="3" t="s">
        <v>13</v>
      </c>
      <c r="J901" s="4">
        <v>45976</v>
      </c>
      <c r="K901" s="3">
        <v>9</v>
      </c>
      <c r="L901" s="18">
        <f t="shared" ref="L901:L962" si="60">E901-D901</f>
        <v>4</v>
      </c>
      <c r="M901">
        <f t="shared" si="57"/>
        <v>2</v>
      </c>
      <c r="N901">
        <f t="shared" si="58"/>
        <v>3</v>
      </c>
      <c r="O901" t="str">
        <f t="shared" si="59"/>
        <v>Promoter</v>
      </c>
    </row>
    <row r="902" spans="1:15" ht="14.25" customHeight="1" x14ac:dyDescent="0.3">
      <c r="A902" s="3" t="s">
        <v>921</v>
      </c>
      <c r="B902" s="3" t="s">
        <v>1022</v>
      </c>
      <c r="C902" s="3" t="s">
        <v>12</v>
      </c>
      <c r="D902" s="13">
        <v>45956</v>
      </c>
      <c r="E902" s="13">
        <v>45961</v>
      </c>
      <c r="F902" s="13">
        <v>45965</v>
      </c>
      <c r="G902" s="13">
        <v>45968</v>
      </c>
      <c r="H902" s="3" t="s">
        <v>13</v>
      </c>
      <c r="J902" s="4">
        <v>45993</v>
      </c>
      <c r="K902" s="3">
        <v>10</v>
      </c>
      <c r="L902" s="18">
        <f t="shared" si="60"/>
        <v>5</v>
      </c>
      <c r="M902">
        <f t="shared" si="57"/>
        <v>4</v>
      </c>
      <c r="N902">
        <f t="shared" si="58"/>
        <v>3</v>
      </c>
      <c r="O902" t="str">
        <f t="shared" si="59"/>
        <v>Promoter</v>
      </c>
    </row>
    <row r="903" spans="1:15" ht="14.25" customHeight="1" x14ac:dyDescent="0.3">
      <c r="A903" s="3" t="s">
        <v>922</v>
      </c>
      <c r="B903" s="3" t="s">
        <v>1022</v>
      </c>
      <c r="C903" s="3" t="s">
        <v>12</v>
      </c>
      <c r="D903" s="13">
        <v>45936</v>
      </c>
      <c r="E903" s="13">
        <v>45940</v>
      </c>
      <c r="F903" s="13">
        <v>45944</v>
      </c>
      <c r="G903" s="13">
        <v>45948</v>
      </c>
      <c r="H903" s="3" t="s">
        <v>13</v>
      </c>
      <c r="J903" s="4">
        <v>45962</v>
      </c>
      <c r="K903" s="3">
        <v>0</v>
      </c>
      <c r="L903" s="18">
        <f t="shared" si="60"/>
        <v>4</v>
      </c>
      <c r="M903">
        <f t="shared" si="57"/>
        <v>4</v>
      </c>
      <c r="N903">
        <f t="shared" si="58"/>
        <v>4</v>
      </c>
      <c r="O903" t="str">
        <f t="shared" si="59"/>
        <v>Detractor</v>
      </c>
    </row>
    <row r="904" spans="1:15" ht="14.25" customHeight="1" x14ac:dyDescent="0.3">
      <c r="A904" s="3" t="s">
        <v>923</v>
      </c>
      <c r="B904" s="3" t="s">
        <v>1022</v>
      </c>
      <c r="C904" s="3" t="s">
        <v>12</v>
      </c>
      <c r="D904" s="13">
        <v>45934</v>
      </c>
      <c r="E904" s="13">
        <v>45938</v>
      </c>
      <c r="F904" s="13">
        <v>45939</v>
      </c>
      <c r="G904" s="13">
        <v>45943</v>
      </c>
      <c r="H904" s="3" t="s">
        <v>13</v>
      </c>
      <c r="J904" s="4">
        <v>45955</v>
      </c>
      <c r="K904" s="3">
        <v>5</v>
      </c>
      <c r="L904" s="18">
        <f t="shared" si="60"/>
        <v>4</v>
      </c>
      <c r="M904">
        <f t="shared" si="57"/>
        <v>1</v>
      </c>
      <c r="N904">
        <f t="shared" si="58"/>
        <v>4</v>
      </c>
      <c r="O904" t="str">
        <f t="shared" si="59"/>
        <v>Detractor</v>
      </c>
    </row>
    <row r="905" spans="1:15" ht="14.25" customHeight="1" x14ac:dyDescent="0.3">
      <c r="A905" s="3" t="s">
        <v>924</v>
      </c>
      <c r="B905" s="3" t="s">
        <v>1024</v>
      </c>
      <c r="C905" s="3" t="s">
        <v>12</v>
      </c>
      <c r="D905" s="13">
        <v>45952</v>
      </c>
      <c r="E905" s="13">
        <v>45955</v>
      </c>
      <c r="F905" s="13">
        <v>45959</v>
      </c>
      <c r="G905" s="13">
        <v>45964</v>
      </c>
      <c r="H905" s="3" t="s">
        <v>13</v>
      </c>
      <c r="J905" s="4">
        <v>45990</v>
      </c>
      <c r="K905" s="3">
        <v>9</v>
      </c>
      <c r="L905" s="18">
        <f t="shared" si="60"/>
        <v>3</v>
      </c>
      <c r="M905">
        <f t="shared" si="57"/>
        <v>4</v>
      </c>
      <c r="N905">
        <f t="shared" si="58"/>
        <v>5</v>
      </c>
      <c r="O905" t="str">
        <f t="shared" si="59"/>
        <v>Promoter</v>
      </c>
    </row>
    <row r="906" spans="1:15" ht="14.25" customHeight="1" x14ac:dyDescent="0.3">
      <c r="A906" s="3" t="s">
        <v>925</v>
      </c>
      <c r="B906" s="3" t="s">
        <v>1022</v>
      </c>
      <c r="C906" s="3" t="s">
        <v>16</v>
      </c>
      <c r="D906" s="13">
        <v>45958</v>
      </c>
      <c r="H906" s="3" t="s">
        <v>17</v>
      </c>
      <c r="I906" s="3" t="s">
        <v>56</v>
      </c>
      <c r="M906">
        <f t="shared" si="57"/>
        <v>0</v>
      </c>
      <c r="N906">
        <f t="shared" si="58"/>
        <v>0</v>
      </c>
      <c r="O906" t="str">
        <f t="shared" si="59"/>
        <v>Detractor</v>
      </c>
    </row>
    <row r="907" spans="1:15" ht="14.25" customHeight="1" x14ac:dyDescent="0.3">
      <c r="A907" s="3" t="s">
        <v>926</v>
      </c>
      <c r="B907" s="3" t="s">
        <v>1024</v>
      </c>
      <c r="C907" s="3" t="s">
        <v>12</v>
      </c>
      <c r="D907" s="13">
        <v>45931</v>
      </c>
      <c r="E907" s="13">
        <v>45935</v>
      </c>
      <c r="F907" s="13">
        <v>45940</v>
      </c>
      <c r="G907" s="13">
        <v>45943</v>
      </c>
      <c r="H907" s="3" t="s">
        <v>13</v>
      </c>
      <c r="J907" s="4">
        <v>45955</v>
      </c>
      <c r="K907" s="3">
        <v>7</v>
      </c>
      <c r="L907" s="18">
        <f t="shared" si="60"/>
        <v>4</v>
      </c>
      <c r="M907">
        <f t="shared" si="57"/>
        <v>5</v>
      </c>
      <c r="N907">
        <f t="shared" si="58"/>
        <v>3</v>
      </c>
      <c r="O907" t="str">
        <f t="shared" si="59"/>
        <v>Passive</v>
      </c>
    </row>
    <row r="908" spans="1:15" ht="14.25" customHeight="1" x14ac:dyDescent="0.3">
      <c r="A908" s="3" t="s">
        <v>927</v>
      </c>
      <c r="B908" s="3" t="s">
        <v>1022</v>
      </c>
      <c r="C908" s="3" t="s">
        <v>12</v>
      </c>
      <c r="D908" s="13">
        <v>45935</v>
      </c>
      <c r="E908" s="13">
        <v>45936</v>
      </c>
      <c r="F908" s="13">
        <v>45940</v>
      </c>
      <c r="G908" s="13">
        <v>45942</v>
      </c>
      <c r="H908" s="3" t="s">
        <v>13</v>
      </c>
      <c r="J908" s="4">
        <v>45955</v>
      </c>
      <c r="K908" s="3">
        <v>4</v>
      </c>
      <c r="L908" s="18">
        <f t="shared" si="60"/>
        <v>1</v>
      </c>
      <c r="M908">
        <f t="shared" si="57"/>
        <v>4</v>
      </c>
      <c r="N908">
        <f t="shared" si="58"/>
        <v>2</v>
      </c>
      <c r="O908" t="str">
        <f t="shared" si="59"/>
        <v>Detractor</v>
      </c>
    </row>
    <row r="909" spans="1:15" ht="14.25" customHeight="1" x14ac:dyDescent="0.3">
      <c r="A909" s="3" t="s">
        <v>928</v>
      </c>
      <c r="B909" s="3" t="s">
        <v>1023</v>
      </c>
      <c r="C909" s="3" t="s">
        <v>24</v>
      </c>
      <c r="D909" s="13">
        <v>45931</v>
      </c>
      <c r="E909" s="13">
        <v>45932</v>
      </c>
      <c r="F909" s="13">
        <v>45937</v>
      </c>
      <c r="G909" s="13">
        <v>45943</v>
      </c>
      <c r="H909" s="3" t="s">
        <v>13</v>
      </c>
      <c r="J909" s="4">
        <v>45961</v>
      </c>
      <c r="K909" s="3">
        <v>2</v>
      </c>
      <c r="L909" s="18">
        <f t="shared" si="60"/>
        <v>1</v>
      </c>
      <c r="M909">
        <f t="shared" si="57"/>
        <v>5</v>
      </c>
      <c r="N909">
        <f t="shared" si="58"/>
        <v>6</v>
      </c>
      <c r="O909" t="str">
        <f t="shared" si="59"/>
        <v>Detractor</v>
      </c>
    </row>
    <row r="910" spans="1:15" ht="14.25" customHeight="1" x14ac:dyDescent="0.3">
      <c r="A910" s="3" t="s">
        <v>929</v>
      </c>
      <c r="B910" s="3" t="s">
        <v>1021</v>
      </c>
      <c r="C910" s="3" t="s">
        <v>12</v>
      </c>
      <c r="D910" s="13">
        <v>45942</v>
      </c>
      <c r="E910" s="13">
        <v>45946</v>
      </c>
      <c r="F910" s="13">
        <v>45950</v>
      </c>
      <c r="G910" s="13">
        <v>45956</v>
      </c>
      <c r="H910" s="3" t="s">
        <v>13</v>
      </c>
      <c r="J910" s="4">
        <v>45986</v>
      </c>
      <c r="K910" s="3">
        <v>8</v>
      </c>
      <c r="L910" s="18">
        <f t="shared" si="60"/>
        <v>4</v>
      </c>
      <c r="M910">
        <f t="shared" si="57"/>
        <v>4</v>
      </c>
      <c r="N910">
        <f t="shared" si="58"/>
        <v>6</v>
      </c>
      <c r="O910" t="str">
        <f t="shared" si="59"/>
        <v>Passive</v>
      </c>
    </row>
    <row r="911" spans="1:15" ht="14.25" customHeight="1" x14ac:dyDescent="0.3">
      <c r="A911" s="3" t="s">
        <v>930</v>
      </c>
      <c r="B911" s="3" t="s">
        <v>1023</v>
      </c>
      <c r="C911" s="3" t="s">
        <v>12</v>
      </c>
      <c r="D911" s="13">
        <v>45956</v>
      </c>
      <c r="E911" s="13">
        <v>45961</v>
      </c>
      <c r="F911" s="13">
        <v>45966</v>
      </c>
      <c r="G911" s="13">
        <v>45972</v>
      </c>
      <c r="H911" s="3" t="s">
        <v>13</v>
      </c>
      <c r="J911" s="4">
        <v>45989</v>
      </c>
      <c r="K911" s="3">
        <v>2</v>
      </c>
      <c r="L911" s="18">
        <f t="shared" si="60"/>
        <v>5</v>
      </c>
      <c r="M911">
        <f t="shared" si="57"/>
        <v>5</v>
      </c>
      <c r="N911">
        <f t="shared" si="58"/>
        <v>6</v>
      </c>
      <c r="O911" t="str">
        <f t="shared" si="59"/>
        <v>Detractor</v>
      </c>
    </row>
    <row r="912" spans="1:15" ht="14.25" customHeight="1" x14ac:dyDescent="0.3">
      <c r="A912" s="3" t="s">
        <v>931</v>
      </c>
      <c r="B912" s="3" t="s">
        <v>1021</v>
      </c>
      <c r="C912" s="3" t="s">
        <v>12</v>
      </c>
      <c r="D912" s="13">
        <v>45956</v>
      </c>
      <c r="E912" s="13">
        <v>45960</v>
      </c>
      <c r="F912" s="13">
        <v>45965</v>
      </c>
      <c r="G912" s="13">
        <v>45968</v>
      </c>
      <c r="H912" s="3" t="s">
        <v>13</v>
      </c>
      <c r="J912" s="4">
        <v>45992</v>
      </c>
      <c r="K912" s="3">
        <v>4</v>
      </c>
      <c r="L912" s="18">
        <f t="shared" si="60"/>
        <v>4</v>
      </c>
      <c r="M912">
        <f t="shared" si="57"/>
        <v>5</v>
      </c>
      <c r="N912">
        <f t="shared" si="58"/>
        <v>3</v>
      </c>
      <c r="O912" t="str">
        <f t="shared" si="59"/>
        <v>Detractor</v>
      </c>
    </row>
    <row r="913" spans="1:15" ht="14.25" customHeight="1" x14ac:dyDescent="0.3">
      <c r="A913" s="3" t="s">
        <v>932</v>
      </c>
      <c r="B913" s="3" t="s">
        <v>1024</v>
      </c>
      <c r="C913" s="3" t="s">
        <v>24</v>
      </c>
      <c r="D913" s="13">
        <v>45938</v>
      </c>
      <c r="E913" s="13">
        <v>45940</v>
      </c>
      <c r="F913" s="13">
        <v>45944</v>
      </c>
      <c r="G913" s="13">
        <v>45951</v>
      </c>
      <c r="H913" s="3" t="s">
        <v>13</v>
      </c>
      <c r="J913" s="4">
        <v>45970</v>
      </c>
      <c r="K913" s="3">
        <v>1</v>
      </c>
      <c r="L913" s="18">
        <f t="shared" si="60"/>
        <v>2</v>
      </c>
      <c r="M913">
        <f t="shared" si="57"/>
        <v>4</v>
      </c>
      <c r="N913">
        <f t="shared" si="58"/>
        <v>7</v>
      </c>
      <c r="O913" t="str">
        <f t="shared" si="59"/>
        <v>Detractor</v>
      </c>
    </row>
    <row r="914" spans="1:15" ht="14.25" customHeight="1" x14ac:dyDescent="0.3">
      <c r="A914" s="3" t="s">
        <v>933</v>
      </c>
      <c r="B914" s="3" t="s">
        <v>1023</v>
      </c>
      <c r="C914" s="3" t="s">
        <v>24</v>
      </c>
      <c r="D914" s="13">
        <v>45949</v>
      </c>
      <c r="E914" s="13">
        <v>45951</v>
      </c>
      <c r="F914" s="13">
        <v>45956</v>
      </c>
      <c r="G914" s="13">
        <v>45960</v>
      </c>
      <c r="H914" s="3" t="s">
        <v>13</v>
      </c>
      <c r="J914" s="4">
        <v>45978</v>
      </c>
      <c r="K914" s="3">
        <v>8</v>
      </c>
      <c r="L914" s="18">
        <f t="shared" si="60"/>
        <v>2</v>
      </c>
      <c r="M914">
        <f t="shared" si="57"/>
        <v>5</v>
      </c>
      <c r="N914">
        <f t="shared" si="58"/>
        <v>4</v>
      </c>
      <c r="O914" t="str">
        <f t="shared" si="59"/>
        <v>Passive</v>
      </c>
    </row>
    <row r="915" spans="1:15" ht="14.25" customHeight="1" x14ac:dyDescent="0.3">
      <c r="A915" s="3" t="s">
        <v>934</v>
      </c>
      <c r="B915" s="3" t="s">
        <v>1022</v>
      </c>
      <c r="C915" s="3" t="s">
        <v>12</v>
      </c>
      <c r="D915" s="13">
        <v>45941</v>
      </c>
      <c r="E915" s="13">
        <v>45946</v>
      </c>
      <c r="F915" s="13">
        <v>45947</v>
      </c>
      <c r="G915" s="13">
        <v>45952</v>
      </c>
      <c r="H915" s="3" t="s">
        <v>13</v>
      </c>
      <c r="J915" s="4">
        <v>45976</v>
      </c>
      <c r="K915" s="3">
        <v>9</v>
      </c>
      <c r="L915" s="18">
        <f t="shared" si="60"/>
        <v>5</v>
      </c>
      <c r="M915">
        <f t="shared" si="57"/>
        <v>1</v>
      </c>
      <c r="N915">
        <f t="shared" si="58"/>
        <v>5</v>
      </c>
      <c r="O915" t="str">
        <f t="shared" si="59"/>
        <v>Promoter</v>
      </c>
    </row>
    <row r="916" spans="1:15" ht="14.25" customHeight="1" x14ac:dyDescent="0.3">
      <c r="A916" s="3" t="s">
        <v>935</v>
      </c>
      <c r="B916" s="3" t="s">
        <v>1021</v>
      </c>
      <c r="C916" s="3" t="s">
        <v>24</v>
      </c>
      <c r="D916" s="13">
        <v>45931</v>
      </c>
      <c r="E916" s="13">
        <v>45934</v>
      </c>
      <c r="F916" s="13">
        <v>45937</v>
      </c>
      <c r="G916" s="13">
        <v>45942</v>
      </c>
      <c r="H916" s="3" t="s">
        <v>13</v>
      </c>
      <c r="J916" s="4">
        <v>45953</v>
      </c>
      <c r="K916" s="3">
        <v>4</v>
      </c>
      <c r="L916" s="18">
        <f t="shared" si="60"/>
        <v>3</v>
      </c>
      <c r="M916">
        <f t="shared" si="57"/>
        <v>3</v>
      </c>
      <c r="N916">
        <f t="shared" si="58"/>
        <v>5</v>
      </c>
      <c r="O916" t="str">
        <f t="shared" si="59"/>
        <v>Detractor</v>
      </c>
    </row>
    <row r="917" spans="1:15" ht="14.25" customHeight="1" x14ac:dyDescent="0.3">
      <c r="A917" s="3" t="s">
        <v>936</v>
      </c>
      <c r="B917" s="3" t="s">
        <v>1021</v>
      </c>
      <c r="C917" s="3" t="s">
        <v>24</v>
      </c>
      <c r="D917" s="13">
        <v>45936</v>
      </c>
      <c r="E917" s="13">
        <v>45937</v>
      </c>
      <c r="F917" s="13">
        <v>45942</v>
      </c>
      <c r="G917" s="13">
        <v>45948</v>
      </c>
      <c r="H917" s="3" t="s">
        <v>13</v>
      </c>
      <c r="J917" s="4">
        <v>45961</v>
      </c>
      <c r="K917" s="3">
        <v>1</v>
      </c>
      <c r="L917" s="18">
        <f t="shared" si="60"/>
        <v>1</v>
      </c>
      <c r="M917">
        <f t="shared" si="57"/>
        <v>5</v>
      </c>
      <c r="N917">
        <f t="shared" si="58"/>
        <v>6</v>
      </c>
      <c r="O917" t="str">
        <f t="shared" si="59"/>
        <v>Detractor</v>
      </c>
    </row>
    <row r="918" spans="1:15" ht="14.25" customHeight="1" x14ac:dyDescent="0.3">
      <c r="A918" s="3" t="s">
        <v>937</v>
      </c>
      <c r="B918" s="3" t="s">
        <v>1023</v>
      </c>
      <c r="C918" s="3" t="s">
        <v>24</v>
      </c>
      <c r="D918" s="13">
        <v>45939</v>
      </c>
      <c r="E918" s="13">
        <v>45940</v>
      </c>
      <c r="F918" s="13">
        <v>45945</v>
      </c>
      <c r="G918" s="13">
        <v>45950</v>
      </c>
      <c r="H918" s="3" t="s">
        <v>13</v>
      </c>
      <c r="J918" s="4">
        <v>45965</v>
      </c>
      <c r="K918" s="3">
        <v>6</v>
      </c>
      <c r="L918" s="18">
        <f t="shared" si="60"/>
        <v>1</v>
      </c>
      <c r="M918">
        <f t="shared" si="57"/>
        <v>5</v>
      </c>
      <c r="N918">
        <f t="shared" si="58"/>
        <v>5</v>
      </c>
      <c r="O918" t="str">
        <f t="shared" si="59"/>
        <v>Detractor</v>
      </c>
    </row>
    <row r="919" spans="1:15" ht="14.25" customHeight="1" x14ac:dyDescent="0.3">
      <c r="A919" s="3" t="s">
        <v>938</v>
      </c>
      <c r="B919" s="3" t="s">
        <v>1024</v>
      </c>
      <c r="C919" s="3" t="s">
        <v>24</v>
      </c>
      <c r="D919" s="13">
        <v>45932</v>
      </c>
      <c r="E919" s="13">
        <v>45935</v>
      </c>
      <c r="F919" s="13">
        <v>45936</v>
      </c>
      <c r="G919" s="13">
        <v>45938</v>
      </c>
      <c r="H919" s="3" t="s">
        <v>13</v>
      </c>
      <c r="J919" s="4">
        <v>45949</v>
      </c>
      <c r="K919" s="3">
        <v>8</v>
      </c>
      <c r="L919" s="18">
        <f t="shared" si="60"/>
        <v>3</v>
      </c>
      <c r="M919">
        <f t="shared" si="57"/>
        <v>1</v>
      </c>
      <c r="N919">
        <f t="shared" si="58"/>
        <v>2</v>
      </c>
      <c r="O919" t="str">
        <f t="shared" si="59"/>
        <v>Passive</v>
      </c>
    </row>
    <row r="920" spans="1:15" ht="14.25" customHeight="1" x14ac:dyDescent="0.3">
      <c r="A920" s="3" t="s">
        <v>939</v>
      </c>
      <c r="B920" s="3" t="s">
        <v>1023</v>
      </c>
      <c r="C920" s="3" t="s">
        <v>24</v>
      </c>
      <c r="D920" s="13">
        <v>45935</v>
      </c>
      <c r="E920" s="13">
        <v>45939</v>
      </c>
      <c r="F920" s="13">
        <v>45940</v>
      </c>
      <c r="G920" s="13">
        <v>45942</v>
      </c>
      <c r="H920" s="3" t="s">
        <v>13</v>
      </c>
      <c r="J920" s="4">
        <v>45961</v>
      </c>
      <c r="K920" s="3">
        <v>1</v>
      </c>
      <c r="L920" s="18">
        <f t="shared" si="60"/>
        <v>4</v>
      </c>
      <c r="M920">
        <f t="shared" si="57"/>
        <v>1</v>
      </c>
      <c r="N920">
        <f t="shared" si="58"/>
        <v>2</v>
      </c>
      <c r="O920" t="str">
        <f t="shared" si="59"/>
        <v>Detractor</v>
      </c>
    </row>
    <row r="921" spans="1:15" ht="14.25" customHeight="1" x14ac:dyDescent="0.3">
      <c r="A921" s="3" t="s">
        <v>940</v>
      </c>
      <c r="B921" s="3" t="s">
        <v>1024</v>
      </c>
      <c r="C921" s="3" t="s">
        <v>12</v>
      </c>
      <c r="D921" s="13">
        <v>45954</v>
      </c>
      <c r="E921" s="13">
        <v>45959</v>
      </c>
      <c r="F921" s="13">
        <v>45961</v>
      </c>
      <c r="G921" s="13">
        <v>45965</v>
      </c>
      <c r="H921" s="3" t="s">
        <v>13</v>
      </c>
      <c r="J921" s="4">
        <v>45986</v>
      </c>
      <c r="K921" s="3">
        <v>6</v>
      </c>
      <c r="L921" s="18">
        <f t="shared" si="60"/>
        <v>5</v>
      </c>
      <c r="M921">
        <f t="shared" si="57"/>
        <v>2</v>
      </c>
      <c r="N921">
        <f t="shared" si="58"/>
        <v>4</v>
      </c>
      <c r="O921" t="str">
        <f t="shared" si="59"/>
        <v>Detractor</v>
      </c>
    </row>
    <row r="922" spans="1:15" ht="14.25" customHeight="1" x14ac:dyDescent="0.3">
      <c r="A922" s="3" t="s">
        <v>941</v>
      </c>
      <c r="B922" s="3" t="s">
        <v>1024</v>
      </c>
      <c r="C922" s="3" t="s">
        <v>12</v>
      </c>
      <c r="D922" s="13">
        <v>45944</v>
      </c>
      <c r="E922" s="13">
        <v>45948</v>
      </c>
      <c r="F922" s="13">
        <v>45951</v>
      </c>
      <c r="G922" s="13">
        <v>45956</v>
      </c>
      <c r="H922" s="3" t="s">
        <v>13</v>
      </c>
      <c r="J922" s="4">
        <v>45976</v>
      </c>
      <c r="K922" s="3">
        <v>0</v>
      </c>
      <c r="L922" s="18">
        <f t="shared" si="60"/>
        <v>4</v>
      </c>
      <c r="M922">
        <f t="shared" si="57"/>
        <v>3</v>
      </c>
      <c r="N922">
        <f t="shared" si="58"/>
        <v>5</v>
      </c>
      <c r="O922" t="str">
        <f t="shared" si="59"/>
        <v>Detractor</v>
      </c>
    </row>
    <row r="923" spans="1:15" ht="14.25" customHeight="1" x14ac:dyDescent="0.3">
      <c r="A923" s="3" t="s">
        <v>942</v>
      </c>
      <c r="B923" s="3" t="s">
        <v>1021</v>
      </c>
      <c r="C923" s="3" t="s">
        <v>16</v>
      </c>
      <c r="D923" s="13">
        <v>45947</v>
      </c>
      <c r="H923" s="3" t="s">
        <v>17</v>
      </c>
      <c r="I923" s="3" t="s">
        <v>18</v>
      </c>
      <c r="M923">
        <f t="shared" si="57"/>
        <v>0</v>
      </c>
      <c r="N923">
        <f t="shared" si="58"/>
        <v>0</v>
      </c>
      <c r="O923" t="str">
        <f t="shared" si="59"/>
        <v>Detractor</v>
      </c>
    </row>
    <row r="924" spans="1:15" ht="14.25" customHeight="1" x14ac:dyDescent="0.3">
      <c r="A924" s="3" t="s">
        <v>943</v>
      </c>
      <c r="B924" s="3" t="s">
        <v>1023</v>
      </c>
      <c r="C924" s="3" t="s">
        <v>12</v>
      </c>
      <c r="D924" s="13">
        <v>45934</v>
      </c>
      <c r="E924" s="13">
        <v>45937</v>
      </c>
      <c r="F924" s="13">
        <v>45939</v>
      </c>
      <c r="G924" s="13">
        <v>45942</v>
      </c>
      <c r="H924" s="3" t="s">
        <v>13</v>
      </c>
      <c r="J924" s="4">
        <v>45965</v>
      </c>
      <c r="K924" s="3">
        <v>6</v>
      </c>
      <c r="L924" s="18">
        <f t="shared" si="60"/>
        <v>3</v>
      </c>
      <c r="M924">
        <f t="shared" si="57"/>
        <v>2</v>
      </c>
      <c r="N924">
        <f t="shared" si="58"/>
        <v>3</v>
      </c>
      <c r="O924" t="str">
        <f t="shared" si="59"/>
        <v>Detractor</v>
      </c>
    </row>
    <row r="925" spans="1:15" ht="14.25" customHeight="1" x14ac:dyDescent="0.3">
      <c r="A925" s="3" t="s">
        <v>944</v>
      </c>
      <c r="B925" s="3" t="s">
        <v>1023</v>
      </c>
      <c r="C925" s="3" t="s">
        <v>12</v>
      </c>
      <c r="D925" s="13">
        <v>45954</v>
      </c>
      <c r="E925" s="13">
        <v>45959</v>
      </c>
      <c r="F925" s="13">
        <v>45964</v>
      </c>
      <c r="G925" s="13">
        <v>45969</v>
      </c>
      <c r="H925" s="3" t="s">
        <v>13</v>
      </c>
      <c r="J925" s="4">
        <v>45982</v>
      </c>
      <c r="K925" s="3">
        <v>6</v>
      </c>
      <c r="L925" s="18">
        <f t="shared" si="60"/>
        <v>5</v>
      </c>
      <c r="M925">
        <f t="shared" si="57"/>
        <v>5</v>
      </c>
      <c r="N925">
        <f t="shared" si="58"/>
        <v>5</v>
      </c>
      <c r="O925" t="str">
        <f t="shared" si="59"/>
        <v>Detractor</v>
      </c>
    </row>
    <row r="926" spans="1:15" ht="14.25" customHeight="1" x14ac:dyDescent="0.3">
      <c r="A926" s="3" t="s">
        <v>945</v>
      </c>
      <c r="B926" s="3" t="s">
        <v>1024</v>
      </c>
      <c r="C926" s="3" t="s">
        <v>24</v>
      </c>
      <c r="D926" s="13">
        <v>45933</v>
      </c>
      <c r="E926" s="13">
        <v>45934</v>
      </c>
      <c r="F926" s="13">
        <v>45935</v>
      </c>
      <c r="G926" s="13">
        <v>45938</v>
      </c>
      <c r="H926" s="3" t="s">
        <v>13</v>
      </c>
      <c r="J926" s="4">
        <v>45951</v>
      </c>
      <c r="K926" s="3">
        <v>6</v>
      </c>
      <c r="L926" s="18">
        <f t="shared" si="60"/>
        <v>1</v>
      </c>
      <c r="M926">
        <f t="shared" si="57"/>
        <v>1</v>
      </c>
      <c r="N926">
        <f t="shared" si="58"/>
        <v>3</v>
      </c>
      <c r="O926" t="str">
        <f t="shared" si="59"/>
        <v>Detractor</v>
      </c>
    </row>
    <row r="927" spans="1:15" ht="14.25" customHeight="1" x14ac:dyDescent="0.3">
      <c r="A927" s="3" t="s">
        <v>946</v>
      </c>
      <c r="B927" s="3" t="s">
        <v>1023</v>
      </c>
      <c r="C927" s="3" t="s">
        <v>24</v>
      </c>
      <c r="D927" s="13">
        <v>45946</v>
      </c>
      <c r="E927" s="13">
        <v>45947</v>
      </c>
      <c r="F927" s="13">
        <v>45952</v>
      </c>
      <c r="G927" s="13">
        <v>45959</v>
      </c>
      <c r="H927" s="3" t="s">
        <v>13</v>
      </c>
      <c r="J927" s="4">
        <v>45970</v>
      </c>
      <c r="K927" s="3">
        <v>2</v>
      </c>
      <c r="L927" s="18">
        <f t="shared" si="60"/>
        <v>1</v>
      </c>
      <c r="M927">
        <f t="shared" si="57"/>
        <v>5</v>
      </c>
      <c r="N927">
        <f t="shared" si="58"/>
        <v>7</v>
      </c>
      <c r="O927" t="str">
        <f t="shared" si="59"/>
        <v>Detractor</v>
      </c>
    </row>
    <row r="928" spans="1:15" ht="14.25" customHeight="1" x14ac:dyDescent="0.3">
      <c r="A928" s="3" t="s">
        <v>947</v>
      </c>
      <c r="B928" s="3" t="s">
        <v>1022</v>
      </c>
      <c r="C928" s="3" t="s">
        <v>12</v>
      </c>
      <c r="D928" s="13">
        <v>45945</v>
      </c>
      <c r="E928" s="13">
        <v>45949</v>
      </c>
      <c r="F928" s="13">
        <v>45953</v>
      </c>
      <c r="G928" s="13">
        <v>45959</v>
      </c>
      <c r="H928" s="3" t="s">
        <v>13</v>
      </c>
      <c r="J928" s="4">
        <v>45969</v>
      </c>
      <c r="K928" s="3">
        <v>7</v>
      </c>
      <c r="L928" s="18">
        <f t="shared" si="60"/>
        <v>4</v>
      </c>
      <c r="M928">
        <f t="shared" si="57"/>
        <v>4</v>
      </c>
      <c r="N928">
        <f t="shared" si="58"/>
        <v>6</v>
      </c>
      <c r="O928" t="str">
        <f t="shared" si="59"/>
        <v>Passive</v>
      </c>
    </row>
    <row r="929" spans="1:15" ht="14.25" customHeight="1" x14ac:dyDescent="0.3">
      <c r="A929" s="3" t="s">
        <v>948</v>
      </c>
      <c r="B929" s="3" t="s">
        <v>1022</v>
      </c>
      <c r="C929" s="3" t="s">
        <v>24</v>
      </c>
      <c r="D929" s="13">
        <v>45955</v>
      </c>
      <c r="E929" s="13">
        <v>45957</v>
      </c>
      <c r="F929" s="13">
        <v>45960</v>
      </c>
      <c r="G929" s="13">
        <v>45963</v>
      </c>
      <c r="H929" s="3" t="s">
        <v>17</v>
      </c>
      <c r="I929" s="3" t="s">
        <v>56</v>
      </c>
      <c r="L929" s="18">
        <f t="shared" si="60"/>
        <v>2</v>
      </c>
      <c r="M929">
        <f t="shared" si="57"/>
        <v>3</v>
      </c>
      <c r="N929">
        <f t="shared" si="58"/>
        <v>3</v>
      </c>
      <c r="O929" t="str">
        <f t="shared" si="59"/>
        <v>Detractor</v>
      </c>
    </row>
    <row r="930" spans="1:15" ht="14.25" customHeight="1" x14ac:dyDescent="0.3">
      <c r="A930" s="3" t="s">
        <v>949</v>
      </c>
      <c r="B930" s="3" t="s">
        <v>1023</v>
      </c>
      <c r="C930" s="3" t="s">
        <v>12</v>
      </c>
      <c r="D930" s="13">
        <v>45942</v>
      </c>
      <c r="E930" s="13">
        <v>45945</v>
      </c>
      <c r="F930" s="13">
        <v>45949</v>
      </c>
      <c r="G930" s="13">
        <v>45956</v>
      </c>
      <c r="H930" s="3" t="s">
        <v>13</v>
      </c>
      <c r="J930" s="4">
        <v>45970</v>
      </c>
      <c r="K930" s="3">
        <v>8</v>
      </c>
      <c r="L930" s="18">
        <f t="shared" si="60"/>
        <v>3</v>
      </c>
      <c r="M930">
        <f t="shared" si="57"/>
        <v>4</v>
      </c>
      <c r="N930">
        <f t="shared" si="58"/>
        <v>7</v>
      </c>
      <c r="O930" t="str">
        <f t="shared" si="59"/>
        <v>Passive</v>
      </c>
    </row>
    <row r="931" spans="1:15" ht="14.25" customHeight="1" x14ac:dyDescent="0.3">
      <c r="A931" s="3" t="s">
        <v>950</v>
      </c>
      <c r="B931" s="3" t="s">
        <v>1023</v>
      </c>
      <c r="C931" s="3" t="s">
        <v>12</v>
      </c>
      <c r="D931" s="13">
        <v>45947</v>
      </c>
      <c r="E931" s="13">
        <v>45950</v>
      </c>
      <c r="F931" s="13">
        <v>45951</v>
      </c>
      <c r="G931" s="13">
        <v>45957</v>
      </c>
      <c r="H931" s="3" t="s">
        <v>13</v>
      </c>
      <c r="J931" s="4">
        <v>45987</v>
      </c>
      <c r="K931" s="3">
        <v>1</v>
      </c>
      <c r="L931" s="18">
        <f t="shared" si="60"/>
        <v>3</v>
      </c>
      <c r="M931">
        <f t="shared" si="57"/>
        <v>1</v>
      </c>
      <c r="N931">
        <f t="shared" si="58"/>
        <v>6</v>
      </c>
      <c r="O931" t="str">
        <f t="shared" si="59"/>
        <v>Detractor</v>
      </c>
    </row>
    <row r="932" spans="1:15" ht="14.25" customHeight="1" x14ac:dyDescent="0.3">
      <c r="A932" s="3" t="s">
        <v>951</v>
      </c>
      <c r="B932" s="3" t="s">
        <v>1024</v>
      </c>
      <c r="C932" s="3" t="s">
        <v>12</v>
      </c>
      <c r="D932" s="13">
        <v>45949</v>
      </c>
      <c r="E932" s="13">
        <v>45953</v>
      </c>
      <c r="F932" s="13">
        <v>45954</v>
      </c>
      <c r="G932" s="13">
        <v>45956</v>
      </c>
      <c r="H932" s="3" t="s">
        <v>13</v>
      </c>
      <c r="J932" s="4">
        <v>45971</v>
      </c>
      <c r="K932" s="3">
        <v>7</v>
      </c>
      <c r="L932" s="18">
        <f t="shared" si="60"/>
        <v>4</v>
      </c>
      <c r="M932">
        <f t="shared" si="57"/>
        <v>1</v>
      </c>
      <c r="N932">
        <f t="shared" si="58"/>
        <v>2</v>
      </c>
      <c r="O932" t="str">
        <f t="shared" si="59"/>
        <v>Passive</v>
      </c>
    </row>
    <row r="933" spans="1:15" ht="14.25" customHeight="1" x14ac:dyDescent="0.3">
      <c r="A933" s="3" t="s">
        <v>952</v>
      </c>
      <c r="B933" s="3" t="s">
        <v>1022</v>
      </c>
      <c r="C933" s="3" t="s">
        <v>24</v>
      </c>
      <c r="D933" s="13">
        <v>45934</v>
      </c>
      <c r="E933" s="13">
        <v>45937</v>
      </c>
      <c r="F933" s="13">
        <v>45938</v>
      </c>
      <c r="G933" s="13">
        <v>45943</v>
      </c>
      <c r="H933" s="3" t="s">
        <v>13</v>
      </c>
      <c r="J933" s="4">
        <v>45963</v>
      </c>
      <c r="K933" s="3">
        <v>9</v>
      </c>
      <c r="L933" s="18">
        <f t="shared" si="60"/>
        <v>3</v>
      </c>
      <c r="M933">
        <f t="shared" si="57"/>
        <v>1</v>
      </c>
      <c r="N933">
        <f t="shared" si="58"/>
        <v>5</v>
      </c>
      <c r="O933" t="str">
        <f t="shared" si="59"/>
        <v>Promoter</v>
      </c>
    </row>
    <row r="934" spans="1:15" ht="14.25" customHeight="1" x14ac:dyDescent="0.3">
      <c r="A934" s="3" t="s">
        <v>953</v>
      </c>
      <c r="B934" s="3" t="s">
        <v>1022</v>
      </c>
      <c r="C934" s="3" t="s">
        <v>12</v>
      </c>
      <c r="D934" s="13">
        <v>45945</v>
      </c>
      <c r="E934" s="13">
        <v>45946</v>
      </c>
      <c r="F934" s="13">
        <v>45949</v>
      </c>
      <c r="G934" s="13">
        <v>45956</v>
      </c>
      <c r="H934" s="3" t="s">
        <v>13</v>
      </c>
      <c r="J934" s="4">
        <v>45977</v>
      </c>
      <c r="K934" s="3">
        <v>2</v>
      </c>
      <c r="L934" s="18">
        <f t="shared" si="60"/>
        <v>1</v>
      </c>
      <c r="M934">
        <f t="shared" si="57"/>
        <v>3</v>
      </c>
      <c r="N934">
        <f t="shared" si="58"/>
        <v>7</v>
      </c>
      <c r="O934" t="str">
        <f t="shared" si="59"/>
        <v>Detractor</v>
      </c>
    </row>
    <row r="935" spans="1:15" ht="14.25" customHeight="1" x14ac:dyDescent="0.3">
      <c r="A935" s="3" t="s">
        <v>954</v>
      </c>
      <c r="B935" s="3" t="s">
        <v>1021</v>
      </c>
      <c r="C935" s="3" t="s">
        <v>12</v>
      </c>
      <c r="D935" s="13">
        <v>45947</v>
      </c>
      <c r="E935" s="13">
        <v>45951</v>
      </c>
      <c r="F935" s="13">
        <v>45953</v>
      </c>
      <c r="G935" s="13">
        <v>45957</v>
      </c>
      <c r="H935" s="3" t="s">
        <v>17</v>
      </c>
      <c r="I935" s="3" t="s">
        <v>26</v>
      </c>
      <c r="L935" s="18">
        <f t="shared" si="60"/>
        <v>4</v>
      </c>
      <c r="M935">
        <f t="shared" si="57"/>
        <v>2</v>
      </c>
      <c r="N935">
        <f t="shared" si="58"/>
        <v>4</v>
      </c>
      <c r="O935" t="str">
        <f t="shared" si="59"/>
        <v>Detractor</v>
      </c>
    </row>
    <row r="936" spans="1:15" ht="14.25" customHeight="1" x14ac:dyDescent="0.3">
      <c r="A936" s="3" t="s">
        <v>955</v>
      </c>
      <c r="B936" s="3" t="s">
        <v>1024</v>
      </c>
      <c r="C936" s="3" t="s">
        <v>24</v>
      </c>
      <c r="D936" s="13">
        <v>45938</v>
      </c>
      <c r="E936" s="13">
        <v>45939</v>
      </c>
      <c r="F936" s="13">
        <v>45944</v>
      </c>
      <c r="G936" s="13">
        <v>45949</v>
      </c>
      <c r="H936" s="3" t="s">
        <v>13</v>
      </c>
      <c r="J936" s="4">
        <v>45973</v>
      </c>
      <c r="K936" s="3">
        <v>9</v>
      </c>
      <c r="L936" s="18">
        <f t="shared" si="60"/>
        <v>1</v>
      </c>
      <c r="M936">
        <f t="shared" si="57"/>
        <v>5</v>
      </c>
      <c r="N936">
        <f t="shared" si="58"/>
        <v>5</v>
      </c>
      <c r="O936" t="str">
        <f t="shared" si="59"/>
        <v>Promoter</v>
      </c>
    </row>
    <row r="937" spans="1:15" ht="14.25" customHeight="1" x14ac:dyDescent="0.3">
      <c r="A937" s="3" t="s">
        <v>956</v>
      </c>
      <c r="B937" s="3" t="s">
        <v>1021</v>
      </c>
      <c r="C937" s="3" t="s">
        <v>12</v>
      </c>
      <c r="D937" s="13">
        <v>45961</v>
      </c>
      <c r="E937" s="13">
        <v>45966</v>
      </c>
      <c r="F937" s="13">
        <v>45971</v>
      </c>
      <c r="G937" s="13">
        <v>45977</v>
      </c>
      <c r="H937" s="3" t="s">
        <v>13</v>
      </c>
      <c r="J937" s="4">
        <v>46006</v>
      </c>
      <c r="K937" s="3">
        <v>2</v>
      </c>
      <c r="L937" s="18">
        <f t="shared" si="60"/>
        <v>5</v>
      </c>
      <c r="M937">
        <f t="shared" si="57"/>
        <v>5</v>
      </c>
      <c r="N937">
        <f t="shared" si="58"/>
        <v>6</v>
      </c>
      <c r="O937" t="str">
        <f t="shared" si="59"/>
        <v>Detractor</v>
      </c>
    </row>
    <row r="938" spans="1:15" ht="14.25" customHeight="1" x14ac:dyDescent="0.3">
      <c r="A938" s="3" t="s">
        <v>957</v>
      </c>
      <c r="B938" s="3" t="s">
        <v>1022</v>
      </c>
      <c r="C938" s="3" t="s">
        <v>12</v>
      </c>
      <c r="D938" s="13">
        <v>45950</v>
      </c>
      <c r="E938" s="13">
        <v>45955</v>
      </c>
      <c r="F938" s="13">
        <v>45960</v>
      </c>
      <c r="G938" s="13">
        <v>45965</v>
      </c>
      <c r="H938" s="3" t="s">
        <v>13</v>
      </c>
      <c r="J938" s="4">
        <v>45983</v>
      </c>
      <c r="K938" s="3">
        <v>4</v>
      </c>
      <c r="L938" s="18">
        <f t="shared" si="60"/>
        <v>5</v>
      </c>
      <c r="M938">
        <f t="shared" si="57"/>
        <v>5</v>
      </c>
      <c r="N938">
        <f t="shared" si="58"/>
        <v>5</v>
      </c>
      <c r="O938" t="str">
        <f t="shared" si="59"/>
        <v>Detractor</v>
      </c>
    </row>
    <row r="939" spans="1:15" ht="14.25" customHeight="1" x14ac:dyDescent="0.3">
      <c r="A939" s="3" t="s">
        <v>958</v>
      </c>
      <c r="B939" s="3" t="s">
        <v>1024</v>
      </c>
      <c r="C939" s="3" t="s">
        <v>16</v>
      </c>
      <c r="D939" s="13">
        <v>45932</v>
      </c>
      <c r="H939" s="3" t="s">
        <v>17</v>
      </c>
      <c r="I939" s="3" t="s">
        <v>94</v>
      </c>
      <c r="M939">
        <f t="shared" si="57"/>
        <v>0</v>
      </c>
      <c r="N939">
        <f t="shared" si="58"/>
        <v>0</v>
      </c>
      <c r="O939" t="str">
        <f t="shared" si="59"/>
        <v>Detractor</v>
      </c>
    </row>
    <row r="940" spans="1:15" ht="14.25" customHeight="1" x14ac:dyDescent="0.3">
      <c r="A940" s="3" t="s">
        <v>959</v>
      </c>
      <c r="B940" s="3" t="s">
        <v>1023</v>
      </c>
      <c r="C940" s="3" t="s">
        <v>24</v>
      </c>
      <c r="D940" s="13">
        <v>45954</v>
      </c>
      <c r="E940" s="13">
        <v>45956</v>
      </c>
      <c r="F940" s="13">
        <v>45961</v>
      </c>
      <c r="G940" s="13">
        <v>45965</v>
      </c>
      <c r="H940" s="3" t="s">
        <v>13</v>
      </c>
      <c r="J940" s="4">
        <v>45977</v>
      </c>
      <c r="K940" s="3">
        <v>7</v>
      </c>
      <c r="L940" s="18">
        <f t="shared" si="60"/>
        <v>2</v>
      </c>
      <c r="M940">
        <f t="shared" si="57"/>
        <v>5</v>
      </c>
      <c r="N940">
        <f t="shared" si="58"/>
        <v>4</v>
      </c>
      <c r="O940" t="str">
        <f t="shared" si="59"/>
        <v>Passive</v>
      </c>
    </row>
    <row r="941" spans="1:15" ht="14.25" customHeight="1" x14ac:dyDescent="0.3">
      <c r="A941" s="3" t="s">
        <v>960</v>
      </c>
      <c r="B941" s="3" t="s">
        <v>1024</v>
      </c>
      <c r="C941" s="3" t="s">
        <v>16</v>
      </c>
      <c r="D941" s="13">
        <v>45956</v>
      </c>
      <c r="H941" s="3" t="s">
        <v>17</v>
      </c>
      <c r="I941" s="3" t="s">
        <v>94</v>
      </c>
      <c r="M941">
        <f t="shared" si="57"/>
        <v>0</v>
      </c>
      <c r="N941">
        <f t="shared" si="58"/>
        <v>0</v>
      </c>
      <c r="O941" t="str">
        <f t="shared" si="59"/>
        <v>Detractor</v>
      </c>
    </row>
    <row r="942" spans="1:15" ht="14.25" customHeight="1" x14ac:dyDescent="0.3">
      <c r="A942" s="3" t="s">
        <v>961</v>
      </c>
      <c r="B942" s="3" t="s">
        <v>1023</v>
      </c>
      <c r="C942" s="3" t="s">
        <v>12</v>
      </c>
      <c r="D942" s="13">
        <v>45960</v>
      </c>
      <c r="E942" s="13">
        <v>45963</v>
      </c>
      <c r="F942" s="13">
        <v>45968</v>
      </c>
      <c r="G942" s="13">
        <v>45974</v>
      </c>
      <c r="H942" s="3" t="s">
        <v>13</v>
      </c>
      <c r="J942" s="4">
        <v>45995</v>
      </c>
      <c r="K942" s="3">
        <v>8</v>
      </c>
      <c r="L942" s="18">
        <f t="shared" si="60"/>
        <v>3</v>
      </c>
      <c r="M942">
        <f t="shared" si="57"/>
        <v>5</v>
      </c>
      <c r="N942">
        <f t="shared" si="58"/>
        <v>6</v>
      </c>
      <c r="O942" t="str">
        <f t="shared" si="59"/>
        <v>Passive</v>
      </c>
    </row>
    <row r="943" spans="1:15" ht="14.25" customHeight="1" x14ac:dyDescent="0.3">
      <c r="A943" s="3" t="s">
        <v>962</v>
      </c>
      <c r="B943" s="3" t="s">
        <v>1023</v>
      </c>
      <c r="C943" s="3" t="s">
        <v>12</v>
      </c>
      <c r="D943" s="13">
        <v>45958</v>
      </c>
      <c r="E943" s="13">
        <v>45963</v>
      </c>
      <c r="F943" s="13">
        <v>45965</v>
      </c>
      <c r="G943" s="13">
        <v>45971</v>
      </c>
      <c r="H943" s="3" t="s">
        <v>13</v>
      </c>
      <c r="J943" s="4">
        <v>45991</v>
      </c>
      <c r="K943" s="3">
        <v>5</v>
      </c>
      <c r="L943" s="18">
        <f t="shared" si="60"/>
        <v>5</v>
      </c>
      <c r="M943">
        <f t="shared" si="57"/>
        <v>2</v>
      </c>
      <c r="N943">
        <f t="shared" si="58"/>
        <v>6</v>
      </c>
      <c r="O943" t="str">
        <f t="shared" si="59"/>
        <v>Detractor</v>
      </c>
    </row>
    <row r="944" spans="1:15" ht="14.25" customHeight="1" x14ac:dyDescent="0.3">
      <c r="A944" s="3" t="s">
        <v>963</v>
      </c>
      <c r="B944" s="3" t="s">
        <v>1024</v>
      </c>
      <c r="C944" s="3" t="s">
        <v>24</v>
      </c>
      <c r="D944" s="13">
        <v>45952</v>
      </c>
      <c r="E944" s="13">
        <v>45955</v>
      </c>
      <c r="F944" s="13">
        <v>45959</v>
      </c>
      <c r="G944" s="13">
        <v>45963</v>
      </c>
      <c r="H944" s="3" t="s">
        <v>13</v>
      </c>
      <c r="J944" s="4">
        <v>45978</v>
      </c>
      <c r="K944" s="3">
        <v>4</v>
      </c>
      <c r="L944" s="18">
        <f t="shared" si="60"/>
        <v>3</v>
      </c>
      <c r="M944">
        <f t="shared" si="57"/>
        <v>4</v>
      </c>
      <c r="N944">
        <f t="shared" si="58"/>
        <v>4</v>
      </c>
      <c r="O944" t="str">
        <f t="shared" si="59"/>
        <v>Detractor</v>
      </c>
    </row>
    <row r="945" spans="1:15" ht="14.25" customHeight="1" x14ac:dyDescent="0.3">
      <c r="A945" s="3" t="s">
        <v>964</v>
      </c>
      <c r="B945" s="3" t="s">
        <v>1023</v>
      </c>
      <c r="C945" s="3" t="s">
        <v>12</v>
      </c>
      <c r="D945" s="13">
        <v>45947</v>
      </c>
      <c r="E945" s="13">
        <v>45948</v>
      </c>
      <c r="F945" s="13">
        <v>45951</v>
      </c>
      <c r="G945" s="13">
        <v>45956</v>
      </c>
      <c r="H945" s="3" t="s">
        <v>13</v>
      </c>
      <c r="J945" s="4">
        <v>45969</v>
      </c>
      <c r="K945" s="3">
        <v>2</v>
      </c>
      <c r="L945" s="18">
        <f t="shared" si="60"/>
        <v>1</v>
      </c>
      <c r="M945">
        <f t="shared" si="57"/>
        <v>3</v>
      </c>
      <c r="N945">
        <f t="shared" si="58"/>
        <v>5</v>
      </c>
      <c r="O945" t="str">
        <f t="shared" si="59"/>
        <v>Detractor</v>
      </c>
    </row>
    <row r="946" spans="1:15" ht="14.25" customHeight="1" x14ac:dyDescent="0.3">
      <c r="A946" s="3" t="s">
        <v>965</v>
      </c>
      <c r="B946" s="3" t="s">
        <v>1021</v>
      </c>
      <c r="C946" s="3" t="s">
        <v>24</v>
      </c>
      <c r="D946" s="13">
        <v>45940</v>
      </c>
      <c r="E946" s="13">
        <v>45944</v>
      </c>
      <c r="F946" s="13">
        <v>45948</v>
      </c>
      <c r="G946" s="13">
        <v>45952</v>
      </c>
      <c r="H946" s="3" t="s">
        <v>13</v>
      </c>
      <c r="J946" s="4">
        <v>45974</v>
      </c>
      <c r="K946" s="3">
        <v>3</v>
      </c>
      <c r="L946" s="18">
        <f t="shared" si="60"/>
        <v>4</v>
      </c>
      <c r="M946">
        <f t="shared" si="57"/>
        <v>4</v>
      </c>
      <c r="N946">
        <f t="shared" si="58"/>
        <v>4</v>
      </c>
      <c r="O946" t="str">
        <f t="shared" si="59"/>
        <v>Detractor</v>
      </c>
    </row>
    <row r="947" spans="1:15" ht="14.25" customHeight="1" x14ac:dyDescent="0.3">
      <c r="A947" s="3" t="s">
        <v>966</v>
      </c>
      <c r="B947" s="3" t="s">
        <v>1022</v>
      </c>
      <c r="C947" s="3" t="s">
        <v>12</v>
      </c>
      <c r="D947" s="13">
        <v>45945</v>
      </c>
      <c r="E947" s="13">
        <v>45950</v>
      </c>
      <c r="F947" s="13">
        <v>45954</v>
      </c>
      <c r="G947" s="13">
        <v>45957</v>
      </c>
      <c r="H947" s="3" t="s">
        <v>13</v>
      </c>
      <c r="J947" s="4">
        <v>45979</v>
      </c>
      <c r="K947" s="3">
        <v>6</v>
      </c>
      <c r="L947" s="18">
        <f t="shared" si="60"/>
        <v>5</v>
      </c>
      <c r="M947">
        <f t="shared" si="57"/>
        <v>4</v>
      </c>
      <c r="N947">
        <f t="shared" si="58"/>
        <v>3</v>
      </c>
      <c r="O947" t="str">
        <f t="shared" si="59"/>
        <v>Detractor</v>
      </c>
    </row>
    <row r="948" spans="1:15" ht="14.25" customHeight="1" x14ac:dyDescent="0.3">
      <c r="A948" s="3" t="s">
        <v>967</v>
      </c>
      <c r="B948" s="3" t="s">
        <v>1023</v>
      </c>
      <c r="C948" s="3" t="s">
        <v>24</v>
      </c>
      <c r="D948" s="13">
        <v>45951</v>
      </c>
      <c r="E948" s="13">
        <v>45955</v>
      </c>
      <c r="F948" s="13">
        <v>45960</v>
      </c>
      <c r="G948" s="13">
        <v>45962</v>
      </c>
      <c r="H948" s="3" t="s">
        <v>13</v>
      </c>
      <c r="J948" s="4">
        <v>45986</v>
      </c>
      <c r="K948" s="3">
        <v>6</v>
      </c>
      <c r="L948" s="18">
        <f t="shared" si="60"/>
        <v>4</v>
      </c>
      <c r="M948">
        <f t="shared" si="57"/>
        <v>5</v>
      </c>
      <c r="N948">
        <f t="shared" si="58"/>
        <v>2</v>
      </c>
      <c r="O948" t="str">
        <f t="shared" si="59"/>
        <v>Detractor</v>
      </c>
    </row>
    <row r="949" spans="1:15" ht="14.25" customHeight="1" x14ac:dyDescent="0.3">
      <c r="A949" s="3" t="s">
        <v>968</v>
      </c>
      <c r="B949" s="3" t="s">
        <v>1021</v>
      </c>
      <c r="C949" s="3" t="s">
        <v>16</v>
      </c>
      <c r="D949" s="13">
        <v>45961</v>
      </c>
      <c r="H949" s="3" t="s">
        <v>17</v>
      </c>
      <c r="I949" s="3" t="s">
        <v>18</v>
      </c>
      <c r="M949">
        <f t="shared" si="57"/>
        <v>0</v>
      </c>
      <c r="N949">
        <f t="shared" si="58"/>
        <v>0</v>
      </c>
      <c r="O949" t="str">
        <f t="shared" si="59"/>
        <v>Detractor</v>
      </c>
    </row>
    <row r="950" spans="1:15" ht="14.25" customHeight="1" x14ac:dyDescent="0.3">
      <c r="A950" s="3" t="s">
        <v>969</v>
      </c>
      <c r="B950" s="3" t="s">
        <v>1023</v>
      </c>
      <c r="C950" s="3" t="s">
        <v>12</v>
      </c>
      <c r="D950" s="13">
        <v>45931</v>
      </c>
      <c r="E950" s="13">
        <v>45936</v>
      </c>
      <c r="F950" s="13">
        <v>45941</v>
      </c>
      <c r="G950" s="13">
        <v>45945</v>
      </c>
      <c r="H950" s="3" t="s">
        <v>13</v>
      </c>
      <c r="J950" s="4">
        <v>45963</v>
      </c>
      <c r="K950" s="3">
        <v>8</v>
      </c>
      <c r="L950" s="18">
        <f t="shared" si="60"/>
        <v>5</v>
      </c>
      <c r="M950">
        <f t="shared" si="57"/>
        <v>5</v>
      </c>
      <c r="N950">
        <f t="shared" si="58"/>
        <v>4</v>
      </c>
      <c r="O950" t="str">
        <f t="shared" si="59"/>
        <v>Passive</v>
      </c>
    </row>
    <row r="951" spans="1:15" ht="14.25" customHeight="1" x14ac:dyDescent="0.3">
      <c r="A951" s="3" t="s">
        <v>970</v>
      </c>
      <c r="B951" s="3" t="s">
        <v>1022</v>
      </c>
      <c r="C951" s="3" t="s">
        <v>12</v>
      </c>
      <c r="D951" s="13">
        <v>45932</v>
      </c>
      <c r="E951" s="13">
        <v>45935</v>
      </c>
      <c r="F951" s="13">
        <v>45937</v>
      </c>
      <c r="G951" s="13">
        <v>45943</v>
      </c>
      <c r="H951" s="3" t="s">
        <v>13</v>
      </c>
      <c r="J951" s="4">
        <v>45965</v>
      </c>
      <c r="K951" s="3">
        <v>2</v>
      </c>
      <c r="L951" s="18">
        <f t="shared" si="60"/>
        <v>3</v>
      </c>
      <c r="M951">
        <f t="shared" si="57"/>
        <v>2</v>
      </c>
      <c r="N951">
        <f t="shared" si="58"/>
        <v>6</v>
      </c>
      <c r="O951" t="str">
        <f t="shared" si="59"/>
        <v>Detractor</v>
      </c>
    </row>
    <row r="952" spans="1:15" ht="14.25" customHeight="1" x14ac:dyDescent="0.3">
      <c r="A952" s="3" t="s">
        <v>971</v>
      </c>
      <c r="B952" s="3" t="s">
        <v>1021</v>
      </c>
      <c r="C952" s="3" t="s">
        <v>24</v>
      </c>
      <c r="D952" s="13">
        <v>45946</v>
      </c>
      <c r="E952" s="13">
        <v>45951</v>
      </c>
      <c r="F952" s="13">
        <v>45954</v>
      </c>
      <c r="G952" s="13">
        <v>45957</v>
      </c>
      <c r="H952" s="3" t="s">
        <v>13</v>
      </c>
      <c r="J952" s="4">
        <v>45982</v>
      </c>
      <c r="K952" s="3">
        <v>3</v>
      </c>
      <c r="L952" s="18">
        <f t="shared" si="60"/>
        <v>5</v>
      </c>
      <c r="M952">
        <f t="shared" si="57"/>
        <v>3</v>
      </c>
      <c r="N952">
        <f t="shared" si="58"/>
        <v>3</v>
      </c>
      <c r="O952" t="str">
        <f t="shared" si="59"/>
        <v>Detractor</v>
      </c>
    </row>
    <row r="953" spans="1:15" ht="14.25" customHeight="1" x14ac:dyDescent="0.3">
      <c r="A953" s="3" t="s">
        <v>972</v>
      </c>
      <c r="B953" s="3" t="s">
        <v>1022</v>
      </c>
      <c r="C953" s="3" t="s">
        <v>24</v>
      </c>
      <c r="D953" s="13">
        <v>45958</v>
      </c>
      <c r="E953" s="13">
        <v>45963</v>
      </c>
      <c r="F953" s="13">
        <v>45964</v>
      </c>
      <c r="G953" s="13">
        <v>45966</v>
      </c>
      <c r="H953" s="3" t="s">
        <v>13</v>
      </c>
      <c r="J953" s="4">
        <v>45989</v>
      </c>
      <c r="K953" s="3">
        <v>1</v>
      </c>
      <c r="L953" s="18">
        <f t="shared" si="60"/>
        <v>5</v>
      </c>
      <c r="M953">
        <f t="shared" si="57"/>
        <v>1</v>
      </c>
      <c r="N953">
        <f t="shared" si="58"/>
        <v>2</v>
      </c>
      <c r="O953" t="str">
        <f t="shared" si="59"/>
        <v>Detractor</v>
      </c>
    </row>
    <row r="954" spans="1:15" ht="14.25" customHeight="1" x14ac:dyDescent="0.3">
      <c r="A954" s="3" t="s">
        <v>973</v>
      </c>
      <c r="B954" s="3" t="s">
        <v>1022</v>
      </c>
      <c r="C954" s="3" t="s">
        <v>12</v>
      </c>
      <c r="D954" s="13">
        <v>45943</v>
      </c>
      <c r="E954" s="13">
        <v>45944</v>
      </c>
      <c r="F954" s="13">
        <v>45948</v>
      </c>
      <c r="G954" s="13">
        <v>45952</v>
      </c>
      <c r="H954" s="3" t="s">
        <v>13</v>
      </c>
      <c r="J954" s="4">
        <v>45982</v>
      </c>
      <c r="K954" s="3">
        <v>1</v>
      </c>
      <c r="L954" s="18">
        <f t="shared" si="60"/>
        <v>1</v>
      </c>
      <c r="M954">
        <f t="shared" si="57"/>
        <v>4</v>
      </c>
      <c r="N954">
        <f t="shared" si="58"/>
        <v>4</v>
      </c>
      <c r="O954" t="str">
        <f t="shared" si="59"/>
        <v>Detractor</v>
      </c>
    </row>
    <row r="955" spans="1:15" ht="14.25" customHeight="1" x14ac:dyDescent="0.3">
      <c r="A955" s="3" t="s">
        <v>974</v>
      </c>
      <c r="B955" s="3" t="s">
        <v>1021</v>
      </c>
      <c r="C955" s="3" t="s">
        <v>12</v>
      </c>
      <c r="D955" s="13">
        <v>45944</v>
      </c>
      <c r="E955" s="13">
        <v>45946</v>
      </c>
      <c r="F955" s="13">
        <v>45947</v>
      </c>
      <c r="G955" s="13">
        <v>45949</v>
      </c>
      <c r="H955" s="3" t="s">
        <v>13</v>
      </c>
      <c r="J955" s="4">
        <v>45964</v>
      </c>
      <c r="K955" s="3">
        <v>6</v>
      </c>
      <c r="L955" s="18">
        <f t="shared" si="60"/>
        <v>2</v>
      </c>
      <c r="M955">
        <f t="shared" si="57"/>
        <v>1</v>
      </c>
      <c r="N955">
        <f t="shared" si="58"/>
        <v>2</v>
      </c>
      <c r="O955" t="str">
        <f t="shared" si="59"/>
        <v>Detractor</v>
      </c>
    </row>
    <row r="956" spans="1:15" ht="14.25" customHeight="1" x14ac:dyDescent="0.3">
      <c r="A956" s="3" t="s">
        <v>975</v>
      </c>
      <c r="B956" s="3" t="s">
        <v>1021</v>
      </c>
      <c r="C956" s="3" t="s">
        <v>24</v>
      </c>
      <c r="D956" s="13">
        <v>45952</v>
      </c>
      <c r="E956" s="13">
        <v>45953</v>
      </c>
      <c r="F956" s="13">
        <v>45956</v>
      </c>
      <c r="G956" s="13">
        <v>45961</v>
      </c>
      <c r="H956" s="3" t="s">
        <v>13</v>
      </c>
      <c r="J956" s="4">
        <v>45974</v>
      </c>
      <c r="K956" s="3">
        <v>1</v>
      </c>
      <c r="L956" s="18">
        <f t="shared" si="60"/>
        <v>1</v>
      </c>
      <c r="M956">
        <f t="shared" si="57"/>
        <v>3</v>
      </c>
      <c r="N956">
        <f t="shared" si="58"/>
        <v>5</v>
      </c>
      <c r="O956" t="str">
        <f t="shared" si="59"/>
        <v>Detractor</v>
      </c>
    </row>
    <row r="957" spans="1:15" ht="14.25" customHeight="1" x14ac:dyDescent="0.3">
      <c r="A957" s="3" t="s">
        <v>976</v>
      </c>
      <c r="B957" s="3" t="s">
        <v>1021</v>
      </c>
      <c r="C957" s="3" t="s">
        <v>12</v>
      </c>
      <c r="D957" s="13">
        <v>45934</v>
      </c>
      <c r="E957" s="13">
        <v>45938</v>
      </c>
      <c r="F957" s="13">
        <v>45942</v>
      </c>
      <c r="G957" s="13">
        <v>45948</v>
      </c>
      <c r="H957" s="3" t="s">
        <v>13</v>
      </c>
      <c r="J957" s="4">
        <v>45962</v>
      </c>
      <c r="K957" s="3">
        <v>2</v>
      </c>
      <c r="L957" s="18">
        <f t="shared" si="60"/>
        <v>4</v>
      </c>
      <c r="M957">
        <f t="shared" si="57"/>
        <v>4</v>
      </c>
      <c r="N957">
        <f t="shared" si="58"/>
        <v>6</v>
      </c>
      <c r="O957" t="str">
        <f t="shared" si="59"/>
        <v>Detractor</v>
      </c>
    </row>
    <row r="958" spans="1:15" ht="14.25" customHeight="1" x14ac:dyDescent="0.3">
      <c r="A958" s="3" t="s">
        <v>977</v>
      </c>
      <c r="B958" s="3" t="s">
        <v>1024</v>
      </c>
      <c r="C958" s="3" t="s">
        <v>16</v>
      </c>
      <c r="D958" s="13">
        <v>45946</v>
      </c>
      <c r="H958" s="3" t="s">
        <v>17</v>
      </c>
      <c r="I958" s="3" t="s">
        <v>94</v>
      </c>
      <c r="M958">
        <f t="shared" si="57"/>
        <v>0</v>
      </c>
      <c r="N958">
        <f t="shared" si="58"/>
        <v>0</v>
      </c>
      <c r="O958" t="str">
        <f t="shared" si="59"/>
        <v>Detractor</v>
      </c>
    </row>
    <row r="959" spans="1:15" ht="14.25" customHeight="1" x14ac:dyDescent="0.3">
      <c r="A959" s="3" t="s">
        <v>978</v>
      </c>
      <c r="B959" s="3" t="s">
        <v>1021</v>
      </c>
      <c r="C959" s="3" t="s">
        <v>12</v>
      </c>
      <c r="D959" s="13">
        <v>45953</v>
      </c>
      <c r="E959" s="13">
        <v>45956</v>
      </c>
      <c r="F959" s="13">
        <v>45957</v>
      </c>
      <c r="G959" s="13">
        <v>45961</v>
      </c>
      <c r="H959" s="3" t="s">
        <v>13</v>
      </c>
      <c r="J959" s="4">
        <v>45972</v>
      </c>
      <c r="K959" s="3">
        <v>10</v>
      </c>
      <c r="L959" s="18">
        <f t="shared" si="60"/>
        <v>3</v>
      </c>
      <c r="M959">
        <f t="shared" si="57"/>
        <v>1</v>
      </c>
      <c r="N959">
        <f t="shared" si="58"/>
        <v>4</v>
      </c>
      <c r="O959" t="str">
        <f t="shared" si="59"/>
        <v>Promoter</v>
      </c>
    </row>
    <row r="960" spans="1:15" ht="14.25" customHeight="1" x14ac:dyDescent="0.3">
      <c r="A960" s="3" t="s">
        <v>979</v>
      </c>
      <c r="B960" s="3" t="s">
        <v>1021</v>
      </c>
      <c r="C960" s="3" t="s">
        <v>12</v>
      </c>
      <c r="D960" s="13">
        <v>45960</v>
      </c>
      <c r="E960" s="13">
        <v>45963</v>
      </c>
      <c r="F960" s="13">
        <v>45964</v>
      </c>
      <c r="G960" s="13">
        <v>45970</v>
      </c>
      <c r="H960" s="3" t="s">
        <v>13</v>
      </c>
      <c r="J960" s="4">
        <v>45985</v>
      </c>
      <c r="K960" s="3">
        <v>1</v>
      </c>
      <c r="L960" s="18">
        <f t="shared" si="60"/>
        <v>3</v>
      </c>
      <c r="M960">
        <f t="shared" si="57"/>
        <v>1</v>
      </c>
      <c r="N960">
        <f t="shared" si="58"/>
        <v>6</v>
      </c>
      <c r="O960" t="str">
        <f t="shared" si="59"/>
        <v>Detractor</v>
      </c>
    </row>
    <row r="961" spans="1:15" ht="14.25" customHeight="1" x14ac:dyDescent="0.3">
      <c r="A961" s="3" t="s">
        <v>980</v>
      </c>
      <c r="B961" s="3" t="s">
        <v>1021</v>
      </c>
      <c r="C961" s="3" t="s">
        <v>16</v>
      </c>
      <c r="D961" s="13">
        <v>45945</v>
      </c>
      <c r="H961" s="3" t="s">
        <v>17</v>
      </c>
      <c r="I961" s="3" t="s">
        <v>26</v>
      </c>
      <c r="M961">
        <f t="shared" si="57"/>
        <v>0</v>
      </c>
      <c r="N961">
        <f t="shared" si="58"/>
        <v>0</v>
      </c>
      <c r="O961" t="str">
        <f t="shared" si="59"/>
        <v>Detractor</v>
      </c>
    </row>
    <row r="962" spans="1:15" ht="14.25" customHeight="1" x14ac:dyDescent="0.3">
      <c r="A962" s="3" t="s">
        <v>981</v>
      </c>
      <c r="B962" s="3" t="s">
        <v>1021</v>
      </c>
      <c r="C962" s="3" t="s">
        <v>24</v>
      </c>
      <c r="D962" s="13">
        <v>45933</v>
      </c>
      <c r="E962" s="13">
        <v>45938</v>
      </c>
      <c r="F962" s="13">
        <v>45940</v>
      </c>
      <c r="G962" s="13">
        <v>45943</v>
      </c>
      <c r="H962" s="3" t="s">
        <v>13</v>
      </c>
      <c r="J962" s="4">
        <v>45956</v>
      </c>
      <c r="K962" s="3">
        <v>8</v>
      </c>
      <c r="L962" s="18">
        <f t="shared" si="60"/>
        <v>5</v>
      </c>
      <c r="M962">
        <f t="shared" si="57"/>
        <v>2</v>
      </c>
      <c r="N962">
        <f t="shared" si="58"/>
        <v>3</v>
      </c>
      <c r="O962" t="str">
        <f t="shared" si="59"/>
        <v>Passive</v>
      </c>
    </row>
    <row r="963" spans="1:15" ht="14.25" customHeight="1" x14ac:dyDescent="0.3">
      <c r="A963" s="3" t="s">
        <v>982</v>
      </c>
      <c r="B963" s="3" t="s">
        <v>1023</v>
      </c>
      <c r="C963" s="3" t="s">
        <v>12</v>
      </c>
      <c r="D963" s="13">
        <v>45959</v>
      </c>
      <c r="E963" s="13">
        <v>45962</v>
      </c>
      <c r="F963" s="13">
        <v>45965</v>
      </c>
      <c r="G963" s="13">
        <v>45968</v>
      </c>
      <c r="H963" s="3" t="s">
        <v>13</v>
      </c>
      <c r="J963" s="4">
        <v>45991</v>
      </c>
      <c r="K963" s="3">
        <v>6</v>
      </c>
      <c r="L963" s="18">
        <f t="shared" ref="L963:L1001" si="61">E963-D963</f>
        <v>3</v>
      </c>
      <c r="M963">
        <f t="shared" ref="M963:M1001" si="62">F963-E963</f>
        <v>3</v>
      </c>
      <c r="N963">
        <f t="shared" ref="N963:N1001" si="63">G963-F963</f>
        <v>3</v>
      </c>
      <c r="O963" t="str">
        <f t="shared" ref="O963:O1001" si="64">IF(K963&gt;=9,"Promoter",IF(K963&lt;=6,"Detractor","Passive"))</f>
        <v>Detractor</v>
      </c>
    </row>
    <row r="964" spans="1:15" ht="14.25" customHeight="1" x14ac:dyDescent="0.3">
      <c r="A964" s="3" t="s">
        <v>983</v>
      </c>
      <c r="B964" s="3" t="s">
        <v>1024</v>
      </c>
      <c r="C964" s="3" t="s">
        <v>16</v>
      </c>
      <c r="D964" s="13">
        <v>45933</v>
      </c>
      <c r="H964" s="3" t="s">
        <v>17</v>
      </c>
      <c r="I964" s="3" t="s">
        <v>18</v>
      </c>
      <c r="M964">
        <f t="shared" si="62"/>
        <v>0</v>
      </c>
      <c r="N964">
        <f t="shared" si="63"/>
        <v>0</v>
      </c>
      <c r="O964" t="str">
        <f t="shared" si="64"/>
        <v>Detractor</v>
      </c>
    </row>
    <row r="965" spans="1:15" ht="14.25" customHeight="1" x14ac:dyDescent="0.3">
      <c r="A965" s="3" t="s">
        <v>984</v>
      </c>
      <c r="B965" s="3" t="s">
        <v>1022</v>
      </c>
      <c r="C965" s="3" t="s">
        <v>24</v>
      </c>
      <c r="D965" s="13">
        <v>45941</v>
      </c>
      <c r="E965" s="13">
        <v>45943</v>
      </c>
      <c r="F965" s="13">
        <v>45946</v>
      </c>
      <c r="G965" s="13">
        <v>45948</v>
      </c>
      <c r="H965" s="3" t="s">
        <v>13</v>
      </c>
      <c r="J965" s="4">
        <v>45976</v>
      </c>
      <c r="K965" s="3">
        <v>3</v>
      </c>
      <c r="L965" s="18">
        <f t="shared" si="61"/>
        <v>2</v>
      </c>
      <c r="M965">
        <f t="shared" si="62"/>
        <v>3</v>
      </c>
      <c r="N965">
        <f t="shared" si="63"/>
        <v>2</v>
      </c>
      <c r="O965" t="str">
        <f t="shared" si="64"/>
        <v>Detractor</v>
      </c>
    </row>
    <row r="966" spans="1:15" ht="14.25" customHeight="1" x14ac:dyDescent="0.3">
      <c r="A966" s="3" t="s">
        <v>985</v>
      </c>
      <c r="B966" s="3" t="s">
        <v>1021</v>
      </c>
      <c r="C966" s="3" t="s">
        <v>12</v>
      </c>
      <c r="D966" s="13">
        <v>45950</v>
      </c>
      <c r="E966" s="13">
        <v>45952</v>
      </c>
      <c r="F966" s="13">
        <v>45955</v>
      </c>
      <c r="G966" s="13">
        <v>45958</v>
      </c>
      <c r="H966" s="3" t="s">
        <v>13</v>
      </c>
      <c r="J966" s="4">
        <v>45983</v>
      </c>
      <c r="K966" s="3">
        <v>9</v>
      </c>
      <c r="L966" s="18">
        <f t="shared" si="61"/>
        <v>2</v>
      </c>
      <c r="M966">
        <f t="shared" si="62"/>
        <v>3</v>
      </c>
      <c r="N966">
        <f t="shared" si="63"/>
        <v>3</v>
      </c>
      <c r="O966" t="str">
        <f t="shared" si="64"/>
        <v>Promoter</v>
      </c>
    </row>
    <row r="967" spans="1:15" ht="14.25" customHeight="1" x14ac:dyDescent="0.3">
      <c r="A967" s="3" t="s">
        <v>986</v>
      </c>
      <c r="B967" s="3" t="s">
        <v>1023</v>
      </c>
      <c r="C967" s="3" t="s">
        <v>12</v>
      </c>
      <c r="D967" s="13">
        <v>45935</v>
      </c>
      <c r="E967" s="13">
        <v>45940</v>
      </c>
      <c r="F967" s="13">
        <v>45944</v>
      </c>
      <c r="G967" s="13">
        <v>45951</v>
      </c>
      <c r="H967" s="3" t="s">
        <v>13</v>
      </c>
      <c r="J967" s="4">
        <v>45979</v>
      </c>
      <c r="K967" s="3">
        <v>7</v>
      </c>
      <c r="L967" s="18">
        <f t="shared" si="61"/>
        <v>5</v>
      </c>
      <c r="M967">
        <f t="shared" si="62"/>
        <v>4</v>
      </c>
      <c r="N967">
        <f t="shared" si="63"/>
        <v>7</v>
      </c>
      <c r="O967" t="str">
        <f t="shared" si="64"/>
        <v>Passive</v>
      </c>
    </row>
    <row r="968" spans="1:15" ht="14.25" customHeight="1" x14ac:dyDescent="0.3">
      <c r="A968" s="3" t="s">
        <v>987</v>
      </c>
      <c r="B968" s="3" t="s">
        <v>1023</v>
      </c>
      <c r="C968" s="3" t="s">
        <v>12</v>
      </c>
      <c r="D968" s="13">
        <v>45933</v>
      </c>
      <c r="E968" s="13">
        <v>45938</v>
      </c>
      <c r="F968" s="13">
        <v>45940</v>
      </c>
      <c r="G968" s="13">
        <v>45943</v>
      </c>
      <c r="H968" s="3" t="s">
        <v>13</v>
      </c>
      <c r="J968" s="4">
        <v>45967</v>
      </c>
      <c r="K968" s="3">
        <v>4</v>
      </c>
      <c r="L968" s="18">
        <f t="shared" si="61"/>
        <v>5</v>
      </c>
      <c r="M968">
        <f t="shared" si="62"/>
        <v>2</v>
      </c>
      <c r="N968">
        <f t="shared" si="63"/>
        <v>3</v>
      </c>
      <c r="O968" t="str">
        <f t="shared" si="64"/>
        <v>Detractor</v>
      </c>
    </row>
    <row r="969" spans="1:15" ht="14.25" customHeight="1" x14ac:dyDescent="0.3">
      <c r="A969" s="3" t="s">
        <v>988</v>
      </c>
      <c r="B969" s="3" t="s">
        <v>1023</v>
      </c>
      <c r="C969" s="3" t="s">
        <v>12</v>
      </c>
      <c r="D969" s="13">
        <v>45935</v>
      </c>
      <c r="E969" s="13">
        <v>45939</v>
      </c>
      <c r="F969" s="13">
        <v>45944</v>
      </c>
      <c r="G969" s="13">
        <v>45948</v>
      </c>
      <c r="H969" s="3" t="s">
        <v>13</v>
      </c>
      <c r="J969" s="4">
        <v>45963</v>
      </c>
      <c r="K969" s="3">
        <v>7</v>
      </c>
      <c r="L969" s="18">
        <f t="shared" si="61"/>
        <v>4</v>
      </c>
      <c r="M969">
        <f t="shared" si="62"/>
        <v>5</v>
      </c>
      <c r="N969">
        <f t="shared" si="63"/>
        <v>4</v>
      </c>
      <c r="O969" t="str">
        <f t="shared" si="64"/>
        <v>Passive</v>
      </c>
    </row>
    <row r="970" spans="1:15" ht="14.25" customHeight="1" x14ac:dyDescent="0.3">
      <c r="A970" s="3" t="s">
        <v>989</v>
      </c>
      <c r="B970" s="3" t="s">
        <v>1022</v>
      </c>
      <c r="C970" s="3" t="s">
        <v>16</v>
      </c>
      <c r="D970" s="13">
        <v>45939</v>
      </c>
      <c r="H970" s="3" t="s">
        <v>17</v>
      </c>
      <c r="I970" s="3" t="s">
        <v>56</v>
      </c>
      <c r="M970">
        <f t="shared" si="62"/>
        <v>0</v>
      </c>
      <c r="N970">
        <f t="shared" si="63"/>
        <v>0</v>
      </c>
      <c r="O970" t="str">
        <f t="shared" si="64"/>
        <v>Detractor</v>
      </c>
    </row>
    <row r="971" spans="1:15" ht="14.25" customHeight="1" x14ac:dyDescent="0.3">
      <c r="A971" s="3" t="s">
        <v>990</v>
      </c>
      <c r="B971" s="3" t="s">
        <v>1021</v>
      </c>
      <c r="C971" s="3" t="s">
        <v>12</v>
      </c>
      <c r="D971" s="13">
        <v>45950</v>
      </c>
      <c r="E971" s="13">
        <v>45955</v>
      </c>
      <c r="F971" s="13">
        <v>45959</v>
      </c>
      <c r="G971" s="13">
        <v>45965</v>
      </c>
      <c r="H971" s="3" t="s">
        <v>13</v>
      </c>
      <c r="J971" s="4">
        <v>45994</v>
      </c>
      <c r="K971" s="3">
        <v>6</v>
      </c>
      <c r="L971" s="18">
        <f t="shared" si="61"/>
        <v>5</v>
      </c>
      <c r="M971">
        <f t="shared" si="62"/>
        <v>4</v>
      </c>
      <c r="N971">
        <f t="shared" si="63"/>
        <v>6</v>
      </c>
      <c r="O971" t="str">
        <f t="shared" si="64"/>
        <v>Detractor</v>
      </c>
    </row>
    <row r="972" spans="1:15" ht="14.25" customHeight="1" x14ac:dyDescent="0.3">
      <c r="A972" s="3" t="s">
        <v>991</v>
      </c>
      <c r="B972" s="3" t="s">
        <v>1024</v>
      </c>
      <c r="C972" s="3" t="s">
        <v>24</v>
      </c>
      <c r="D972" s="13">
        <v>45951</v>
      </c>
      <c r="E972" s="13">
        <v>45952</v>
      </c>
      <c r="F972" s="13">
        <v>45955</v>
      </c>
      <c r="G972" s="13">
        <v>45962</v>
      </c>
      <c r="H972" s="3" t="s">
        <v>13</v>
      </c>
      <c r="J972" s="4">
        <v>45984</v>
      </c>
      <c r="K972" s="3">
        <v>10</v>
      </c>
      <c r="L972" s="18">
        <f t="shared" si="61"/>
        <v>1</v>
      </c>
      <c r="M972">
        <f t="shared" si="62"/>
        <v>3</v>
      </c>
      <c r="N972">
        <f t="shared" si="63"/>
        <v>7</v>
      </c>
      <c r="O972" t="str">
        <f t="shared" si="64"/>
        <v>Promoter</v>
      </c>
    </row>
    <row r="973" spans="1:15" ht="14.25" customHeight="1" x14ac:dyDescent="0.3">
      <c r="A973" s="3" t="s">
        <v>992</v>
      </c>
      <c r="B973" s="3" t="s">
        <v>1024</v>
      </c>
      <c r="C973" s="3" t="s">
        <v>16</v>
      </c>
      <c r="D973" s="13">
        <v>45949</v>
      </c>
      <c r="H973" s="3" t="s">
        <v>17</v>
      </c>
      <c r="I973" s="3" t="s">
        <v>94</v>
      </c>
      <c r="M973">
        <f t="shared" si="62"/>
        <v>0</v>
      </c>
      <c r="N973">
        <f t="shared" si="63"/>
        <v>0</v>
      </c>
      <c r="O973" t="str">
        <f t="shared" si="64"/>
        <v>Detractor</v>
      </c>
    </row>
    <row r="974" spans="1:15" ht="14.25" customHeight="1" x14ac:dyDescent="0.3">
      <c r="A974" s="3" t="s">
        <v>993</v>
      </c>
      <c r="B974" s="3" t="s">
        <v>1023</v>
      </c>
      <c r="C974" s="3" t="s">
        <v>24</v>
      </c>
      <c r="D974" s="13">
        <v>45948</v>
      </c>
      <c r="E974" s="13">
        <v>45949</v>
      </c>
      <c r="F974" s="13">
        <v>45953</v>
      </c>
      <c r="G974" s="13">
        <v>45955</v>
      </c>
      <c r="H974" s="3" t="s">
        <v>13</v>
      </c>
      <c r="J974" s="4">
        <v>45976</v>
      </c>
      <c r="K974" s="3">
        <v>10</v>
      </c>
      <c r="L974" s="18">
        <f t="shared" si="61"/>
        <v>1</v>
      </c>
      <c r="M974">
        <f t="shared" si="62"/>
        <v>4</v>
      </c>
      <c r="N974">
        <f t="shared" si="63"/>
        <v>2</v>
      </c>
      <c r="O974" t="str">
        <f t="shared" si="64"/>
        <v>Promoter</v>
      </c>
    </row>
    <row r="975" spans="1:15" ht="14.25" customHeight="1" x14ac:dyDescent="0.3">
      <c r="A975" s="3" t="s">
        <v>994</v>
      </c>
      <c r="B975" s="3" t="s">
        <v>1022</v>
      </c>
      <c r="C975" s="3" t="s">
        <v>12</v>
      </c>
      <c r="D975" s="13">
        <v>45953</v>
      </c>
      <c r="E975" s="13">
        <v>45954</v>
      </c>
      <c r="F975" s="13">
        <v>45955</v>
      </c>
      <c r="G975" s="13">
        <v>45958</v>
      </c>
      <c r="H975" s="3" t="s">
        <v>13</v>
      </c>
      <c r="J975" s="4">
        <v>45987</v>
      </c>
      <c r="K975" s="3">
        <v>9</v>
      </c>
      <c r="L975" s="18">
        <f t="shared" si="61"/>
        <v>1</v>
      </c>
      <c r="M975">
        <f t="shared" si="62"/>
        <v>1</v>
      </c>
      <c r="N975">
        <f t="shared" si="63"/>
        <v>3</v>
      </c>
      <c r="O975" t="str">
        <f t="shared" si="64"/>
        <v>Promoter</v>
      </c>
    </row>
    <row r="976" spans="1:15" ht="14.25" customHeight="1" x14ac:dyDescent="0.3">
      <c r="A976" s="3" t="s">
        <v>995</v>
      </c>
      <c r="B976" s="3" t="s">
        <v>1022</v>
      </c>
      <c r="C976" s="3" t="s">
        <v>12</v>
      </c>
      <c r="D976" s="13">
        <v>45941</v>
      </c>
      <c r="E976" s="13">
        <v>45943</v>
      </c>
      <c r="F976" s="13">
        <v>45947</v>
      </c>
      <c r="G976" s="13">
        <v>45953</v>
      </c>
      <c r="H976" s="3" t="s">
        <v>13</v>
      </c>
      <c r="J976" s="4">
        <v>45963</v>
      </c>
      <c r="K976" s="3">
        <v>7</v>
      </c>
      <c r="L976" s="18">
        <f t="shared" si="61"/>
        <v>2</v>
      </c>
      <c r="M976">
        <f t="shared" si="62"/>
        <v>4</v>
      </c>
      <c r="N976">
        <f t="shared" si="63"/>
        <v>6</v>
      </c>
      <c r="O976" t="str">
        <f t="shared" si="64"/>
        <v>Passive</v>
      </c>
    </row>
    <row r="977" spans="1:15" ht="14.25" customHeight="1" x14ac:dyDescent="0.3">
      <c r="A977" s="3" t="s">
        <v>996</v>
      </c>
      <c r="B977" s="3" t="s">
        <v>1022</v>
      </c>
      <c r="C977" s="3" t="s">
        <v>12</v>
      </c>
      <c r="D977" s="13">
        <v>45943</v>
      </c>
      <c r="E977" s="13">
        <v>45946</v>
      </c>
      <c r="F977" s="13">
        <v>45950</v>
      </c>
      <c r="G977" s="13">
        <v>45955</v>
      </c>
      <c r="H977" s="3" t="s">
        <v>17</v>
      </c>
      <c r="I977" s="3" t="s">
        <v>20</v>
      </c>
      <c r="L977" s="18">
        <f t="shared" si="61"/>
        <v>3</v>
      </c>
      <c r="M977">
        <f t="shared" si="62"/>
        <v>4</v>
      </c>
      <c r="N977">
        <f t="shared" si="63"/>
        <v>5</v>
      </c>
      <c r="O977" t="str">
        <f t="shared" si="64"/>
        <v>Detractor</v>
      </c>
    </row>
    <row r="978" spans="1:15" ht="14.25" customHeight="1" x14ac:dyDescent="0.3">
      <c r="A978" s="3" t="s">
        <v>997</v>
      </c>
      <c r="B978" s="3" t="s">
        <v>1024</v>
      </c>
      <c r="C978" s="3" t="s">
        <v>12</v>
      </c>
      <c r="D978" s="13">
        <v>45950</v>
      </c>
      <c r="E978" s="13">
        <v>45954</v>
      </c>
      <c r="F978" s="13">
        <v>45957</v>
      </c>
      <c r="G978" s="13">
        <v>45961</v>
      </c>
      <c r="H978" s="3" t="s">
        <v>17</v>
      </c>
      <c r="I978" s="3" t="s">
        <v>94</v>
      </c>
      <c r="L978" s="18">
        <f t="shared" si="61"/>
        <v>4</v>
      </c>
      <c r="M978">
        <f t="shared" si="62"/>
        <v>3</v>
      </c>
      <c r="N978">
        <f t="shared" si="63"/>
        <v>4</v>
      </c>
      <c r="O978" t="str">
        <f t="shared" si="64"/>
        <v>Detractor</v>
      </c>
    </row>
    <row r="979" spans="1:15" ht="14.25" customHeight="1" x14ac:dyDescent="0.3">
      <c r="A979" s="3" t="s">
        <v>998</v>
      </c>
      <c r="B979" s="3" t="s">
        <v>1023</v>
      </c>
      <c r="C979" s="3" t="s">
        <v>16</v>
      </c>
      <c r="D979" s="13">
        <v>45947</v>
      </c>
      <c r="H979" s="3" t="s">
        <v>17</v>
      </c>
      <c r="I979" s="3" t="s">
        <v>56</v>
      </c>
      <c r="M979">
        <f t="shared" si="62"/>
        <v>0</v>
      </c>
      <c r="N979">
        <f t="shared" si="63"/>
        <v>0</v>
      </c>
      <c r="O979" t="str">
        <f t="shared" si="64"/>
        <v>Detractor</v>
      </c>
    </row>
    <row r="980" spans="1:15" ht="14.25" customHeight="1" x14ac:dyDescent="0.3">
      <c r="A980" s="3" t="s">
        <v>999</v>
      </c>
      <c r="B980" s="3" t="s">
        <v>1021</v>
      </c>
      <c r="C980" s="3" t="s">
        <v>12</v>
      </c>
      <c r="D980" s="13">
        <v>45940</v>
      </c>
      <c r="E980" s="13">
        <v>45945</v>
      </c>
      <c r="F980" s="13">
        <v>45946</v>
      </c>
      <c r="G980" s="13">
        <v>45949</v>
      </c>
      <c r="H980" s="3" t="s">
        <v>13</v>
      </c>
      <c r="J980" s="4">
        <v>45963</v>
      </c>
      <c r="K980" s="3">
        <v>8</v>
      </c>
      <c r="L980" s="18">
        <f t="shared" si="61"/>
        <v>5</v>
      </c>
      <c r="M980">
        <f t="shared" si="62"/>
        <v>1</v>
      </c>
      <c r="N980">
        <f t="shared" si="63"/>
        <v>3</v>
      </c>
      <c r="O980" t="str">
        <f t="shared" si="64"/>
        <v>Passive</v>
      </c>
    </row>
    <row r="981" spans="1:15" ht="14.25" customHeight="1" x14ac:dyDescent="0.3">
      <c r="A981" s="3" t="s">
        <v>1000</v>
      </c>
      <c r="B981" s="3" t="s">
        <v>1024</v>
      </c>
      <c r="C981" s="3" t="s">
        <v>12</v>
      </c>
      <c r="D981" s="13">
        <v>45945</v>
      </c>
      <c r="E981" s="13">
        <v>45949</v>
      </c>
      <c r="F981" s="13">
        <v>45952</v>
      </c>
      <c r="G981" s="13">
        <v>45955</v>
      </c>
      <c r="H981" s="3" t="s">
        <v>13</v>
      </c>
      <c r="J981" s="4">
        <v>45980</v>
      </c>
      <c r="K981" s="3">
        <v>5</v>
      </c>
      <c r="L981" s="18">
        <f t="shared" si="61"/>
        <v>4</v>
      </c>
      <c r="M981">
        <f t="shared" si="62"/>
        <v>3</v>
      </c>
      <c r="N981">
        <f t="shared" si="63"/>
        <v>3</v>
      </c>
      <c r="O981" t="str">
        <f t="shared" si="64"/>
        <v>Detractor</v>
      </c>
    </row>
    <row r="982" spans="1:15" ht="14.25" customHeight="1" x14ac:dyDescent="0.3">
      <c r="A982" s="3" t="s">
        <v>1001</v>
      </c>
      <c r="B982" s="3" t="s">
        <v>1023</v>
      </c>
      <c r="C982" s="3" t="s">
        <v>24</v>
      </c>
      <c r="D982" s="13">
        <v>45947</v>
      </c>
      <c r="E982" s="13">
        <v>45949</v>
      </c>
      <c r="F982" s="13">
        <v>45950</v>
      </c>
      <c r="G982" s="13">
        <v>45953</v>
      </c>
      <c r="H982" s="3" t="s">
        <v>13</v>
      </c>
      <c r="J982" s="4">
        <v>45978</v>
      </c>
      <c r="K982" s="3">
        <v>0</v>
      </c>
      <c r="L982" s="18">
        <f t="shared" si="61"/>
        <v>2</v>
      </c>
      <c r="M982">
        <f t="shared" si="62"/>
        <v>1</v>
      </c>
      <c r="N982">
        <f t="shared" si="63"/>
        <v>3</v>
      </c>
      <c r="O982" t="str">
        <f t="shared" si="64"/>
        <v>Detractor</v>
      </c>
    </row>
    <row r="983" spans="1:15" ht="14.25" customHeight="1" x14ac:dyDescent="0.3">
      <c r="A983" s="3" t="s">
        <v>1002</v>
      </c>
      <c r="B983" s="3" t="s">
        <v>1023</v>
      </c>
      <c r="C983" s="3" t="s">
        <v>16</v>
      </c>
      <c r="D983" s="13">
        <v>45950</v>
      </c>
      <c r="H983" s="3" t="s">
        <v>17</v>
      </c>
      <c r="I983" s="3" t="s">
        <v>18</v>
      </c>
      <c r="M983">
        <f t="shared" si="62"/>
        <v>0</v>
      </c>
      <c r="N983">
        <f t="shared" si="63"/>
        <v>0</v>
      </c>
      <c r="O983" t="str">
        <f t="shared" si="64"/>
        <v>Detractor</v>
      </c>
    </row>
    <row r="984" spans="1:15" ht="14.25" customHeight="1" x14ac:dyDescent="0.3">
      <c r="A984" s="3" t="s">
        <v>1003</v>
      </c>
      <c r="B984" s="3" t="s">
        <v>1021</v>
      </c>
      <c r="C984" s="3" t="s">
        <v>16</v>
      </c>
      <c r="D984" s="13">
        <v>45944</v>
      </c>
      <c r="H984" s="3" t="s">
        <v>17</v>
      </c>
      <c r="I984" s="3" t="s">
        <v>56</v>
      </c>
      <c r="M984">
        <f t="shared" si="62"/>
        <v>0</v>
      </c>
      <c r="N984">
        <f t="shared" si="63"/>
        <v>0</v>
      </c>
      <c r="O984" t="str">
        <f t="shared" si="64"/>
        <v>Detractor</v>
      </c>
    </row>
    <row r="985" spans="1:15" ht="14.25" customHeight="1" x14ac:dyDescent="0.3">
      <c r="A985" s="3" t="s">
        <v>1004</v>
      </c>
      <c r="B985" s="3" t="s">
        <v>1021</v>
      </c>
      <c r="C985" s="3" t="s">
        <v>12</v>
      </c>
      <c r="D985" s="13">
        <v>45934</v>
      </c>
      <c r="E985" s="13">
        <v>45939</v>
      </c>
      <c r="F985" s="13">
        <v>45940</v>
      </c>
      <c r="G985" s="13">
        <v>45946</v>
      </c>
      <c r="H985" s="3" t="s">
        <v>13</v>
      </c>
      <c r="J985" s="4">
        <v>45959</v>
      </c>
      <c r="K985" s="3">
        <v>2</v>
      </c>
      <c r="L985" s="18">
        <f t="shared" si="61"/>
        <v>5</v>
      </c>
      <c r="M985">
        <f t="shared" si="62"/>
        <v>1</v>
      </c>
      <c r="N985">
        <f t="shared" si="63"/>
        <v>6</v>
      </c>
      <c r="O985" t="str">
        <f t="shared" si="64"/>
        <v>Detractor</v>
      </c>
    </row>
    <row r="986" spans="1:15" ht="14.25" customHeight="1" x14ac:dyDescent="0.3">
      <c r="A986" s="3" t="s">
        <v>1005</v>
      </c>
      <c r="B986" s="3" t="s">
        <v>1021</v>
      </c>
      <c r="C986" s="3" t="s">
        <v>24</v>
      </c>
      <c r="D986" s="13">
        <v>45956</v>
      </c>
      <c r="E986" s="13">
        <v>45961</v>
      </c>
      <c r="F986" s="13">
        <v>45962</v>
      </c>
      <c r="G986" s="13">
        <v>45966</v>
      </c>
      <c r="H986" s="3" t="s">
        <v>13</v>
      </c>
      <c r="J986" s="4">
        <v>45989</v>
      </c>
      <c r="K986" s="3">
        <v>2</v>
      </c>
      <c r="L986" s="18">
        <f t="shared" si="61"/>
        <v>5</v>
      </c>
      <c r="M986">
        <f t="shared" si="62"/>
        <v>1</v>
      </c>
      <c r="N986">
        <f t="shared" si="63"/>
        <v>4</v>
      </c>
      <c r="O986" t="str">
        <f t="shared" si="64"/>
        <v>Detractor</v>
      </c>
    </row>
    <row r="987" spans="1:15" ht="14.25" customHeight="1" x14ac:dyDescent="0.3">
      <c r="A987" s="3" t="s">
        <v>1006</v>
      </c>
      <c r="B987" s="3" t="s">
        <v>1022</v>
      </c>
      <c r="C987" s="3" t="s">
        <v>24</v>
      </c>
      <c r="D987" s="13">
        <v>45953</v>
      </c>
      <c r="E987" s="13">
        <v>45955</v>
      </c>
      <c r="F987" s="13">
        <v>45958</v>
      </c>
      <c r="G987" s="13">
        <v>45965</v>
      </c>
      <c r="H987" s="3" t="s">
        <v>13</v>
      </c>
      <c r="J987" s="4">
        <v>45989</v>
      </c>
      <c r="K987" s="3">
        <v>7</v>
      </c>
      <c r="L987" s="18">
        <f t="shared" si="61"/>
        <v>2</v>
      </c>
      <c r="M987">
        <f t="shared" si="62"/>
        <v>3</v>
      </c>
      <c r="N987">
        <f t="shared" si="63"/>
        <v>7</v>
      </c>
      <c r="O987" t="str">
        <f t="shared" si="64"/>
        <v>Passive</v>
      </c>
    </row>
    <row r="988" spans="1:15" ht="14.25" customHeight="1" x14ac:dyDescent="0.3">
      <c r="A988" s="3" t="s">
        <v>1007</v>
      </c>
      <c r="B988" s="3" t="s">
        <v>1021</v>
      </c>
      <c r="C988" s="3" t="s">
        <v>24</v>
      </c>
      <c r="D988" s="13">
        <v>45934</v>
      </c>
      <c r="E988" s="13">
        <v>45937</v>
      </c>
      <c r="F988" s="13">
        <v>45938</v>
      </c>
      <c r="G988" s="13">
        <v>45945</v>
      </c>
      <c r="H988" s="3" t="s">
        <v>13</v>
      </c>
      <c r="J988" s="4">
        <v>45956</v>
      </c>
      <c r="K988" s="3">
        <v>8</v>
      </c>
      <c r="L988" s="18">
        <f t="shared" si="61"/>
        <v>3</v>
      </c>
      <c r="M988">
        <f t="shared" si="62"/>
        <v>1</v>
      </c>
      <c r="N988">
        <f t="shared" si="63"/>
        <v>7</v>
      </c>
      <c r="O988" t="str">
        <f t="shared" si="64"/>
        <v>Passive</v>
      </c>
    </row>
    <row r="989" spans="1:15" ht="14.25" customHeight="1" x14ac:dyDescent="0.3">
      <c r="A989" s="3" t="s">
        <v>1008</v>
      </c>
      <c r="B989" s="3" t="s">
        <v>1023</v>
      </c>
      <c r="C989" s="3" t="s">
        <v>24</v>
      </c>
      <c r="D989" s="13">
        <v>45958</v>
      </c>
      <c r="E989" s="13">
        <v>45963</v>
      </c>
      <c r="F989" s="13">
        <v>45965</v>
      </c>
      <c r="G989" s="13">
        <v>45969</v>
      </c>
      <c r="H989" s="3" t="s">
        <v>13</v>
      </c>
      <c r="J989" s="4">
        <v>45981</v>
      </c>
      <c r="K989" s="3">
        <v>0</v>
      </c>
      <c r="L989" s="18">
        <f t="shared" si="61"/>
        <v>5</v>
      </c>
      <c r="M989">
        <f t="shared" si="62"/>
        <v>2</v>
      </c>
      <c r="N989">
        <f t="shared" si="63"/>
        <v>4</v>
      </c>
      <c r="O989" t="str">
        <f t="shared" si="64"/>
        <v>Detractor</v>
      </c>
    </row>
    <row r="990" spans="1:15" ht="14.25" customHeight="1" x14ac:dyDescent="0.3">
      <c r="A990" s="3" t="s">
        <v>1009</v>
      </c>
      <c r="B990" s="3" t="s">
        <v>1021</v>
      </c>
      <c r="C990" s="3" t="s">
        <v>12</v>
      </c>
      <c r="D990" s="13">
        <v>45951</v>
      </c>
      <c r="E990" s="13">
        <v>45954</v>
      </c>
      <c r="F990" s="13">
        <v>45956</v>
      </c>
      <c r="G990" s="13">
        <v>45962</v>
      </c>
      <c r="H990" s="3" t="s">
        <v>13</v>
      </c>
      <c r="J990" s="4">
        <v>45980</v>
      </c>
      <c r="K990" s="3">
        <v>4</v>
      </c>
      <c r="L990" s="18">
        <f t="shared" si="61"/>
        <v>3</v>
      </c>
      <c r="M990">
        <f t="shared" si="62"/>
        <v>2</v>
      </c>
      <c r="N990">
        <f t="shared" si="63"/>
        <v>6</v>
      </c>
      <c r="O990" t="str">
        <f t="shared" si="64"/>
        <v>Detractor</v>
      </c>
    </row>
    <row r="991" spans="1:15" ht="14.25" customHeight="1" x14ac:dyDescent="0.3">
      <c r="A991" s="3" t="s">
        <v>1010</v>
      </c>
      <c r="B991" s="3" t="s">
        <v>1023</v>
      </c>
      <c r="C991" s="3" t="s">
        <v>16</v>
      </c>
      <c r="D991" s="13">
        <v>45951</v>
      </c>
      <c r="H991" s="3" t="s">
        <v>17</v>
      </c>
      <c r="I991" s="3" t="s">
        <v>20</v>
      </c>
      <c r="M991">
        <f t="shared" si="62"/>
        <v>0</v>
      </c>
      <c r="N991">
        <f t="shared" si="63"/>
        <v>0</v>
      </c>
      <c r="O991" t="str">
        <f t="shared" si="64"/>
        <v>Detractor</v>
      </c>
    </row>
    <row r="992" spans="1:15" ht="14.25" customHeight="1" x14ac:dyDescent="0.3">
      <c r="A992" s="3" t="s">
        <v>1011</v>
      </c>
      <c r="B992" s="3" t="s">
        <v>1024</v>
      </c>
      <c r="C992" s="3" t="s">
        <v>12</v>
      </c>
      <c r="D992" s="13">
        <v>45959</v>
      </c>
      <c r="E992" s="13">
        <v>45961</v>
      </c>
      <c r="F992" s="13">
        <v>45966</v>
      </c>
      <c r="G992" s="13">
        <v>45968</v>
      </c>
      <c r="H992" s="3" t="s">
        <v>13</v>
      </c>
      <c r="J992" s="4">
        <v>45998</v>
      </c>
      <c r="K992" s="3">
        <v>6</v>
      </c>
      <c r="L992" s="18">
        <f t="shared" si="61"/>
        <v>2</v>
      </c>
      <c r="M992">
        <f t="shared" si="62"/>
        <v>5</v>
      </c>
      <c r="N992">
        <f t="shared" si="63"/>
        <v>2</v>
      </c>
      <c r="O992" t="str">
        <f t="shared" si="64"/>
        <v>Detractor</v>
      </c>
    </row>
    <row r="993" spans="1:15" ht="14.25" customHeight="1" x14ac:dyDescent="0.3">
      <c r="A993" s="3" t="s">
        <v>1012</v>
      </c>
      <c r="B993" s="3" t="s">
        <v>1022</v>
      </c>
      <c r="C993" s="3" t="s">
        <v>24</v>
      </c>
      <c r="D993" s="13">
        <v>45955</v>
      </c>
      <c r="E993" s="13">
        <v>45959</v>
      </c>
      <c r="F993" s="13">
        <v>45961</v>
      </c>
      <c r="G993" s="13">
        <v>45968</v>
      </c>
      <c r="H993" s="3" t="s">
        <v>13</v>
      </c>
      <c r="J993" s="4">
        <v>45988</v>
      </c>
      <c r="K993" s="3">
        <v>3</v>
      </c>
      <c r="L993" s="18">
        <f t="shared" si="61"/>
        <v>4</v>
      </c>
      <c r="M993">
        <f t="shared" si="62"/>
        <v>2</v>
      </c>
      <c r="N993">
        <f t="shared" si="63"/>
        <v>7</v>
      </c>
      <c r="O993" t="str">
        <f t="shared" si="64"/>
        <v>Detractor</v>
      </c>
    </row>
    <row r="994" spans="1:15" ht="14.25" customHeight="1" x14ac:dyDescent="0.3">
      <c r="A994" s="3" t="s">
        <v>1013</v>
      </c>
      <c r="B994" s="3" t="s">
        <v>1024</v>
      </c>
      <c r="C994" s="3" t="s">
        <v>24</v>
      </c>
      <c r="D994" s="13">
        <v>45948</v>
      </c>
      <c r="E994" s="13">
        <v>45953</v>
      </c>
      <c r="F994" s="13">
        <v>45958</v>
      </c>
      <c r="G994" s="13">
        <v>45965</v>
      </c>
      <c r="H994" s="3" t="s">
        <v>13</v>
      </c>
      <c r="J994" s="4">
        <v>45975</v>
      </c>
      <c r="K994" s="3">
        <v>5</v>
      </c>
      <c r="L994" s="18">
        <f t="shared" si="61"/>
        <v>5</v>
      </c>
      <c r="M994">
        <f t="shared" si="62"/>
        <v>5</v>
      </c>
      <c r="N994">
        <f t="shared" si="63"/>
        <v>7</v>
      </c>
      <c r="O994" t="str">
        <f t="shared" si="64"/>
        <v>Detractor</v>
      </c>
    </row>
    <row r="995" spans="1:15" ht="14.25" customHeight="1" x14ac:dyDescent="0.3">
      <c r="A995" s="3" t="s">
        <v>1014</v>
      </c>
      <c r="B995" s="3" t="s">
        <v>1024</v>
      </c>
      <c r="C995" s="3" t="s">
        <v>24</v>
      </c>
      <c r="D995" s="13">
        <v>45954</v>
      </c>
      <c r="E995" s="13">
        <v>45957</v>
      </c>
      <c r="F995" s="13">
        <v>45959</v>
      </c>
      <c r="G995" s="13">
        <v>45963</v>
      </c>
      <c r="H995" s="3" t="s">
        <v>13</v>
      </c>
      <c r="J995" s="4">
        <v>45989</v>
      </c>
      <c r="K995" s="3">
        <v>7</v>
      </c>
      <c r="L995" s="18">
        <f t="shared" si="61"/>
        <v>3</v>
      </c>
      <c r="M995">
        <f t="shared" si="62"/>
        <v>2</v>
      </c>
      <c r="N995">
        <f t="shared" si="63"/>
        <v>4</v>
      </c>
      <c r="O995" t="str">
        <f t="shared" si="64"/>
        <v>Passive</v>
      </c>
    </row>
    <row r="996" spans="1:15" ht="14.25" customHeight="1" x14ac:dyDescent="0.3">
      <c r="A996" s="3" t="s">
        <v>1015</v>
      </c>
      <c r="B996" s="3" t="s">
        <v>1023</v>
      </c>
      <c r="C996" s="3" t="s">
        <v>24</v>
      </c>
      <c r="D996" s="13">
        <v>45958</v>
      </c>
      <c r="E996" s="13">
        <v>45963</v>
      </c>
      <c r="F996" s="13">
        <v>45966</v>
      </c>
      <c r="G996" s="13">
        <v>45972</v>
      </c>
      <c r="H996" s="3" t="s">
        <v>13</v>
      </c>
      <c r="J996" s="4">
        <v>46000</v>
      </c>
      <c r="K996" s="3">
        <v>1</v>
      </c>
      <c r="L996" s="18">
        <f t="shared" si="61"/>
        <v>5</v>
      </c>
      <c r="M996">
        <f t="shared" si="62"/>
        <v>3</v>
      </c>
      <c r="N996">
        <f t="shared" si="63"/>
        <v>6</v>
      </c>
      <c r="O996" t="str">
        <f t="shared" si="64"/>
        <v>Detractor</v>
      </c>
    </row>
    <row r="997" spans="1:15" ht="14.25" customHeight="1" x14ac:dyDescent="0.3">
      <c r="A997" s="3" t="s">
        <v>1016</v>
      </c>
      <c r="B997" s="3" t="s">
        <v>1024</v>
      </c>
      <c r="C997" s="3" t="s">
        <v>24</v>
      </c>
      <c r="D997" s="13">
        <v>45937</v>
      </c>
      <c r="E997" s="13">
        <v>45940</v>
      </c>
      <c r="F997" s="13">
        <v>45945</v>
      </c>
      <c r="G997" s="13">
        <v>45951</v>
      </c>
      <c r="H997" s="3" t="s">
        <v>13</v>
      </c>
      <c r="J997" s="4">
        <v>45979</v>
      </c>
      <c r="K997" s="3">
        <v>5</v>
      </c>
      <c r="L997" s="18">
        <f t="shared" si="61"/>
        <v>3</v>
      </c>
      <c r="M997">
        <f t="shared" si="62"/>
        <v>5</v>
      </c>
      <c r="N997">
        <f t="shared" si="63"/>
        <v>6</v>
      </c>
      <c r="O997" t="str">
        <f t="shared" si="64"/>
        <v>Detractor</v>
      </c>
    </row>
    <row r="998" spans="1:15" ht="14.25" customHeight="1" x14ac:dyDescent="0.3">
      <c r="A998" s="3" t="s">
        <v>1017</v>
      </c>
      <c r="B998" s="3" t="s">
        <v>1023</v>
      </c>
      <c r="C998" s="3" t="s">
        <v>24</v>
      </c>
      <c r="D998" s="13">
        <v>45944</v>
      </c>
      <c r="E998" s="13">
        <v>45949</v>
      </c>
      <c r="F998" s="13">
        <v>45953</v>
      </c>
      <c r="G998" s="13">
        <v>45956</v>
      </c>
      <c r="H998" s="3" t="s">
        <v>13</v>
      </c>
      <c r="J998" s="4">
        <v>45973</v>
      </c>
      <c r="K998" s="3">
        <v>7</v>
      </c>
      <c r="L998" s="18">
        <f t="shared" si="61"/>
        <v>5</v>
      </c>
      <c r="M998">
        <f t="shared" si="62"/>
        <v>4</v>
      </c>
      <c r="N998">
        <f t="shared" si="63"/>
        <v>3</v>
      </c>
      <c r="O998" t="str">
        <f t="shared" si="64"/>
        <v>Passive</v>
      </c>
    </row>
    <row r="999" spans="1:15" ht="14.25" customHeight="1" x14ac:dyDescent="0.3">
      <c r="A999" s="3" t="s">
        <v>1018</v>
      </c>
      <c r="B999" s="3" t="s">
        <v>1021</v>
      </c>
      <c r="C999" s="3" t="s">
        <v>12</v>
      </c>
      <c r="D999" s="13">
        <v>45945</v>
      </c>
      <c r="E999" s="13">
        <v>45950</v>
      </c>
      <c r="F999" s="13">
        <v>45954</v>
      </c>
      <c r="G999" s="13">
        <v>45960</v>
      </c>
      <c r="H999" s="3" t="s">
        <v>13</v>
      </c>
      <c r="J999" s="4">
        <v>45980</v>
      </c>
      <c r="K999" s="3">
        <v>3</v>
      </c>
      <c r="L999" s="18">
        <f t="shared" si="61"/>
        <v>5</v>
      </c>
      <c r="M999">
        <f t="shared" si="62"/>
        <v>4</v>
      </c>
      <c r="N999">
        <f t="shared" si="63"/>
        <v>6</v>
      </c>
      <c r="O999" t="str">
        <f t="shared" si="64"/>
        <v>Detractor</v>
      </c>
    </row>
    <row r="1000" spans="1:15" ht="14.25" customHeight="1" x14ac:dyDescent="0.3">
      <c r="A1000" s="3" t="s">
        <v>1019</v>
      </c>
      <c r="B1000" s="3" t="s">
        <v>1021</v>
      </c>
      <c r="C1000" s="3" t="s">
        <v>16</v>
      </c>
      <c r="D1000" s="13">
        <v>45959</v>
      </c>
      <c r="H1000" s="3" t="s">
        <v>17</v>
      </c>
      <c r="I1000" s="3" t="s">
        <v>26</v>
      </c>
      <c r="M1000">
        <f t="shared" si="62"/>
        <v>0</v>
      </c>
      <c r="N1000">
        <f t="shared" si="63"/>
        <v>0</v>
      </c>
      <c r="O1000" t="str">
        <f t="shared" si="64"/>
        <v>Detractor</v>
      </c>
    </row>
    <row r="1001" spans="1:15" ht="14.25" customHeight="1" x14ac:dyDescent="0.3">
      <c r="A1001" s="3" t="s">
        <v>1020</v>
      </c>
      <c r="B1001" s="3" t="s">
        <v>1023</v>
      </c>
      <c r="C1001" s="3" t="s">
        <v>12</v>
      </c>
      <c r="D1001" s="13">
        <v>45938</v>
      </c>
      <c r="E1001" s="13">
        <v>45943</v>
      </c>
      <c r="F1001" s="13">
        <v>45945</v>
      </c>
      <c r="G1001" s="13">
        <v>45948</v>
      </c>
      <c r="H1001" s="3" t="s">
        <v>13</v>
      </c>
      <c r="J1001" s="4">
        <v>45974</v>
      </c>
      <c r="K1001" s="3">
        <v>4</v>
      </c>
      <c r="L1001" s="18">
        <f t="shared" si="61"/>
        <v>5</v>
      </c>
      <c r="M1001">
        <f t="shared" si="62"/>
        <v>2</v>
      </c>
      <c r="N1001">
        <f t="shared" si="63"/>
        <v>3</v>
      </c>
      <c r="O1001" t="str">
        <f t="shared" si="64"/>
        <v>Detractor</v>
      </c>
    </row>
  </sheetData>
  <pageMargins left="0.7" right="0.7" top="0.75" bottom="0.75" header="0" footer="0"/>
  <pageSetup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8376F-2B6D-4F95-BF96-8284A0937E93}">
  <sheetPr codeName="Sheet2"/>
  <dimension ref="A1:P56"/>
  <sheetViews>
    <sheetView zoomScaleNormal="100" workbookViewId="0">
      <selection activeCell="AA43" sqref="AA43"/>
    </sheetView>
  </sheetViews>
  <sheetFormatPr defaultRowHeight="14.4" x14ac:dyDescent="0.3"/>
  <cols>
    <col min="1" max="1" width="22.88671875" bestFit="1" customWidth="1"/>
    <col min="2" max="2" width="16.44140625" bestFit="1" customWidth="1"/>
    <col min="3" max="3" width="7.33203125" bestFit="1" customWidth="1"/>
    <col min="4" max="4" width="9.5546875" bestFit="1" customWidth="1"/>
    <col min="5" max="5" width="11.44140625" bestFit="1" customWidth="1"/>
    <col min="6" max="6" width="9.109375" customWidth="1"/>
    <col min="7" max="7" width="11" customWidth="1"/>
    <col min="8" max="8" width="9.109375" bestFit="1" customWidth="1"/>
    <col min="9" max="9" width="13.88671875" customWidth="1"/>
    <col min="10" max="12" width="9.109375" bestFit="1" customWidth="1"/>
    <col min="13" max="13" width="10.77734375" bestFit="1" customWidth="1"/>
    <col min="14" max="40" width="10.33203125" bestFit="1" customWidth="1"/>
    <col min="41" max="41" width="10.77734375" bestFit="1" customWidth="1"/>
    <col min="42" max="92" width="15.77734375" bestFit="1" customWidth="1"/>
    <col min="93" max="93" width="14.44140625" bestFit="1" customWidth="1"/>
    <col min="94" max="163" width="9.88671875" bestFit="1" customWidth="1"/>
    <col min="164" max="164" width="12.6640625" bestFit="1" customWidth="1"/>
    <col min="165" max="234" width="7.44140625" bestFit="1" customWidth="1"/>
    <col min="235" max="235" width="10.21875" bestFit="1" customWidth="1"/>
    <col min="236" max="318" width="10.109375" bestFit="1" customWidth="1"/>
    <col min="319" max="319" width="12.88671875" bestFit="1" customWidth="1"/>
    <col min="320" max="320" width="11" bestFit="1" customWidth="1"/>
  </cols>
  <sheetData>
    <row r="1" spans="1:16" ht="18" x14ac:dyDescent="0.35">
      <c r="G1" s="30" t="s">
        <v>1071</v>
      </c>
      <c r="H1" s="31"/>
      <c r="I1" s="31"/>
    </row>
    <row r="2" spans="1:16" ht="17.399999999999999" x14ac:dyDescent="0.35">
      <c r="A2" s="32" t="s">
        <v>1061</v>
      </c>
      <c r="B2" s="33"/>
      <c r="C2" s="33"/>
    </row>
    <row r="3" spans="1:16" ht="43.2" x14ac:dyDescent="0.3">
      <c r="A3" s="8" t="s">
        <v>1028</v>
      </c>
      <c r="B3" t="s">
        <v>1041</v>
      </c>
      <c r="C3" t="s">
        <v>1068</v>
      </c>
      <c r="D3" t="s">
        <v>1069</v>
      </c>
      <c r="E3" t="s">
        <v>1070</v>
      </c>
      <c r="F3" s="29" t="s">
        <v>1042</v>
      </c>
      <c r="G3" s="29" t="s">
        <v>1043</v>
      </c>
      <c r="H3" s="27" t="s">
        <v>1044</v>
      </c>
      <c r="I3" s="28" t="s">
        <v>1045</v>
      </c>
      <c r="L3" s="8" t="s">
        <v>1028</v>
      </c>
      <c r="M3" t="s">
        <v>1052</v>
      </c>
      <c r="N3" t="s">
        <v>1053</v>
      </c>
      <c r="O3" t="s">
        <v>1054</v>
      </c>
    </row>
    <row r="4" spans="1:16" x14ac:dyDescent="0.3">
      <c r="A4" s="9" t="s">
        <v>1021</v>
      </c>
      <c r="B4">
        <v>263</v>
      </c>
      <c r="C4">
        <v>212</v>
      </c>
      <c r="D4">
        <v>212</v>
      </c>
      <c r="E4">
        <v>212</v>
      </c>
      <c r="F4">
        <f>GETPIVOTDATA("Pre-Booking Date Assigned",$A$3,"Store Name","Bangalore")*100/GETPIVOTDATA("Count of Lead",$A$3,"Store Name","Bangalore")</f>
        <v>80.608365019011401</v>
      </c>
      <c r="G4">
        <f>GETPIVOTDATA("Booking Date Assigned",$A$3,"Store Name","Bangalore")/GETPIVOTDATA("Pre-Booking Date Assigned",$A$3,"Store Name","Bangalore")*100</f>
        <v>100</v>
      </c>
      <c r="H4">
        <f>C4/D4*100</f>
        <v>100</v>
      </c>
      <c r="I4">
        <f>GETPIVOTDATA("Delivery Date Assigned",$A$3,"Store Name","Bangalore")/GETPIVOTDATA("Count of Lead",$A$3,"Store Name","Bangalore")*100</f>
        <v>80.608365019011401</v>
      </c>
      <c r="L4" s="9" t="s">
        <v>1021</v>
      </c>
      <c r="M4">
        <v>2.4448669201520912</v>
      </c>
      <c r="N4">
        <v>3.6387832699619773</v>
      </c>
      <c r="O4">
        <v>3.1179245283018866</v>
      </c>
    </row>
    <row r="5" spans="1:16" x14ac:dyDescent="0.3">
      <c r="A5" s="9" t="s">
        <v>1024</v>
      </c>
      <c r="B5">
        <v>212</v>
      </c>
      <c r="C5">
        <v>173</v>
      </c>
      <c r="D5">
        <v>173</v>
      </c>
      <c r="E5">
        <v>173</v>
      </c>
      <c r="F5">
        <f>GETPIVOTDATA("Pre-Booking Date Assigned",$A$3,"Store Name","Chennai")*100/GETPIVOTDATA("Count of Lead",$A$3,"Store Name","Chennai")</f>
        <v>81.603773584905667</v>
      </c>
      <c r="G5">
        <f>GETPIVOTDATA("Booking Date Assigned",$A$3,"Store Name","Chennai")/GETPIVOTDATA("Booking Date Assigned",$A$3,"Store Name","Chennai")*100</f>
        <v>100</v>
      </c>
      <c r="H5">
        <f t="shared" ref="H5:H8" si="0">C5/D5*100</f>
        <v>100</v>
      </c>
      <c r="I5">
        <f>GETPIVOTDATA("Delivery Date Assigned",$A$3,"Store Name","Chennai")/GETPIVOTDATA("Count of Lead",$A$3,"Store Name","Chennai")*100</f>
        <v>81.603773584905653</v>
      </c>
      <c r="L5" s="9" t="s">
        <v>1024</v>
      </c>
      <c r="M5">
        <v>2.6132075471698113</v>
      </c>
      <c r="N5">
        <v>3.5801886792452828</v>
      </c>
      <c r="O5">
        <v>3.1213872832369942</v>
      </c>
    </row>
    <row r="6" spans="1:16" x14ac:dyDescent="0.3">
      <c r="A6" s="9" t="s">
        <v>1022</v>
      </c>
      <c r="B6">
        <v>263</v>
      </c>
      <c r="C6">
        <v>212</v>
      </c>
      <c r="D6">
        <v>212</v>
      </c>
      <c r="E6">
        <v>212</v>
      </c>
      <c r="F6">
        <f>GETPIVOTDATA("Pre-Booking Date Assigned",$A$3,"Store Name","Delhi")*100/GETPIVOTDATA("Count of Lead",$A$3,"Store Name","Delhi")</f>
        <v>80.608365019011401</v>
      </c>
      <c r="G6">
        <f>GETPIVOTDATA("Booking Date Assigned",$A$3,"Store Name","Delhi")/GETPIVOTDATA("Pre-Booking Date Assigned",$A$3,"Store Name","Delhi")*100</f>
        <v>100</v>
      </c>
      <c r="H6">
        <f t="shared" si="0"/>
        <v>100</v>
      </c>
      <c r="I6">
        <f>GETPIVOTDATA("Delivery Date Assigned",$A$3,"Store Name","Delhi")/GETPIVOTDATA("Count of Lead",$A$3,"Store Name","Delhi")*100</f>
        <v>80.608365019011401</v>
      </c>
      <c r="L6" s="9" t="s">
        <v>1022</v>
      </c>
      <c r="M6">
        <v>2.4334600760456273</v>
      </c>
      <c r="N6">
        <v>3.452471482889734</v>
      </c>
      <c r="O6">
        <v>3.0283018867924527</v>
      </c>
    </row>
    <row r="7" spans="1:16" x14ac:dyDescent="0.3">
      <c r="A7" s="9" t="s">
        <v>1023</v>
      </c>
      <c r="B7">
        <v>262</v>
      </c>
      <c r="C7">
        <v>215</v>
      </c>
      <c r="D7">
        <v>215</v>
      </c>
      <c r="E7">
        <v>215</v>
      </c>
      <c r="F7">
        <f>GETPIVOTDATA("Pre-Booking Date Assigned",$A$3,"Store Name","Mumbai")*100/GETPIVOTDATA("Count of Lead",$A$3,"Store Name","Mumbai")</f>
        <v>82.061068702290072</v>
      </c>
      <c r="G7">
        <f>GETPIVOTDATA("Booking Date Assigned",$A$3,"Store Name","Mumbai")/GETPIVOTDATA("Booking Date Assigned",$A$3,"Store Name","Mumbai")*100</f>
        <v>100</v>
      </c>
      <c r="H7">
        <f t="shared" si="0"/>
        <v>100</v>
      </c>
      <c r="I7">
        <f>GETPIVOTDATA("Delivery Date Assigned",$A$3,"Store Name","Mumbai")/GETPIVOTDATA("Count of Lead",$A$3,"Store Name","Mumbai")*100</f>
        <v>82.061068702290072</v>
      </c>
      <c r="L7" s="9" t="s">
        <v>1023</v>
      </c>
      <c r="M7">
        <v>2.5</v>
      </c>
      <c r="N7">
        <v>3.7977099236641223</v>
      </c>
      <c r="O7">
        <v>2.9767441860465116</v>
      </c>
    </row>
    <row r="8" spans="1:16" x14ac:dyDescent="0.3">
      <c r="A8" s="9" t="s">
        <v>1029</v>
      </c>
      <c r="B8">
        <v>1000</v>
      </c>
      <c r="C8">
        <v>812</v>
      </c>
      <c r="D8">
        <v>812</v>
      </c>
      <c r="E8">
        <v>812</v>
      </c>
      <c r="F8">
        <f>GETPIVOTDATA("Pre-Booking Date Assigned",$A$3)*100/GETPIVOTDATA("Count of Lead",$A$3)</f>
        <v>81.2</v>
      </c>
      <c r="G8">
        <f>GETPIVOTDATA("Booking Date Assigned",$A$3,"Store Name","Chennai")/GETPIVOTDATA("Pre-Booking Date Assigned",$A$3,"Store Name","Chennai")*100</f>
        <v>100</v>
      </c>
      <c r="H8">
        <f t="shared" si="0"/>
        <v>100</v>
      </c>
      <c r="I8">
        <f>GETPIVOTDATA("Delivery Date Assigned",$A$3)/GETPIVOTDATA("Count of Lead",$A$3)*100</f>
        <v>81.2</v>
      </c>
      <c r="L8" s="9" t="s">
        <v>1029</v>
      </c>
      <c r="M8">
        <v>2.492</v>
      </c>
      <c r="N8">
        <v>3.6190000000000002</v>
      </c>
      <c r="O8">
        <v>3.0578817733990147</v>
      </c>
    </row>
    <row r="10" spans="1:16" x14ac:dyDescent="0.3">
      <c r="A10" s="8" t="s">
        <v>7</v>
      </c>
      <c r="B10" t="s">
        <v>1063</v>
      </c>
    </row>
    <row r="11" spans="1:16" ht="17.399999999999999" x14ac:dyDescent="0.35">
      <c r="A11" s="32" t="s">
        <v>1062</v>
      </c>
      <c r="B11" s="34"/>
      <c r="C11" s="34"/>
    </row>
    <row r="12" spans="1:16" x14ac:dyDescent="0.3">
      <c r="A12" s="8" t="s">
        <v>1037</v>
      </c>
      <c r="B12" s="8" t="s">
        <v>1030</v>
      </c>
      <c r="L12" s="12" t="s">
        <v>1037</v>
      </c>
      <c r="M12" s="12" t="s">
        <v>1030</v>
      </c>
      <c r="N12" s="12"/>
      <c r="O12" s="12"/>
      <c r="P12" s="12"/>
    </row>
    <row r="13" spans="1:16" x14ac:dyDescent="0.3">
      <c r="A13" s="8" t="s">
        <v>1028</v>
      </c>
      <c r="B13" t="s">
        <v>26</v>
      </c>
      <c r="C13" t="s">
        <v>56</v>
      </c>
      <c r="D13" t="s">
        <v>20</v>
      </c>
      <c r="E13" t="s">
        <v>18</v>
      </c>
      <c r="F13" t="s">
        <v>94</v>
      </c>
      <c r="G13" t="s">
        <v>1029</v>
      </c>
      <c r="L13" s="10" t="s">
        <v>1028</v>
      </c>
      <c r="M13" s="10" t="s">
        <v>26</v>
      </c>
      <c r="N13" s="10" t="s">
        <v>56</v>
      </c>
      <c r="O13" s="10" t="s">
        <v>20</v>
      </c>
      <c r="P13" s="10" t="s">
        <v>18</v>
      </c>
    </row>
    <row r="14" spans="1:16" x14ac:dyDescent="0.3">
      <c r="A14" s="9" t="s">
        <v>1021</v>
      </c>
      <c r="B14">
        <v>13</v>
      </c>
      <c r="C14">
        <v>14</v>
      </c>
      <c r="D14">
        <v>13</v>
      </c>
      <c r="E14">
        <v>22</v>
      </c>
      <c r="F14">
        <v>10</v>
      </c>
      <c r="G14">
        <v>72</v>
      </c>
      <c r="L14" s="9" t="s">
        <v>1021</v>
      </c>
      <c r="M14">
        <v>13</v>
      </c>
      <c r="N14">
        <v>14</v>
      </c>
      <c r="O14">
        <v>13</v>
      </c>
      <c r="P14">
        <v>22</v>
      </c>
    </row>
    <row r="15" spans="1:16" x14ac:dyDescent="0.3">
      <c r="A15" s="9" t="s">
        <v>1024</v>
      </c>
      <c r="B15">
        <v>15</v>
      </c>
      <c r="C15">
        <v>10</v>
      </c>
      <c r="D15">
        <v>8</v>
      </c>
      <c r="E15">
        <v>8</v>
      </c>
      <c r="F15">
        <v>18</v>
      </c>
      <c r="G15">
        <v>59</v>
      </c>
      <c r="L15" s="9" t="s">
        <v>1024</v>
      </c>
      <c r="M15">
        <v>15</v>
      </c>
      <c r="N15">
        <v>10</v>
      </c>
      <c r="O15">
        <v>8</v>
      </c>
      <c r="P15">
        <v>8</v>
      </c>
    </row>
    <row r="16" spans="1:16" x14ac:dyDescent="0.3">
      <c r="A16" s="9" t="s">
        <v>1022</v>
      </c>
      <c r="B16">
        <v>14</v>
      </c>
      <c r="C16">
        <v>21</v>
      </c>
      <c r="D16">
        <v>13</v>
      </c>
      <c r="E16">
        <v>13</v>
      </c>
      <c r="F16">
        <v>16</v>
      </c>
      <c r="G16">
        <v>77</v>
      </c>
      <c r="L16" s="9" t="s">
        <v>1022</v>
      </c>
      <c r="M16">
        <v>14</v>
      </c>
      <c r="N16">
        <v>21</v>
      </c>
      <c r="O16">
        <v>13</v>
      </c>
      <c r="P16">
        <v>13</v>
      </c>
    </row>
    <row r="17" spans="1:16" x14ac:dyDescent="0.3">
      <c r="A17" s="9" t="s">
        <v>1023</v>
      </c>
      <c r="B17">
        <v>9</v>
      </c>
      <c r="C17">
        <v>14</v>
      </c>
      <c r="D17">
        <v>9</v>
      </c>
      <c r="E17">
        <v>14</v>
      </c>
      <c r="F17">
        <v>17</v>
      </c>
      <c r="G17">
        <v>63</v>
      </c>
      <c r="L17" s="9"/>
    </row>
    <row r="18" spans="1:16" x14ac:dyDescent="0.3">
      <c r="A18" s="9" t="s">
        <v>1029</v>
      </c>
      <c r="B18">
        <v>51</v>
      </c>
      <c r="C18">
        <v>59</v>
      </c>
      <c r="D18">
        <v>43</v>
      </c>
      <c r="E18">
        <v>57</v>
      </c>
      <c r="F18">
        <v>61</v>
      </c>
      <c r="G18">
        <v>271</v>
      </c>
      <c r="L18" s="9" t="s">
        <v>1023</v>
      </c>
      <c r="M18">
        <v>9</v>
      </c>
      <c r="N18">
        <v>14</v>
      </c>
      <c r="O18">
        <v>9</v>
      </c>
      <c r="P18">
        <v>14</v>
      </c>
    </row>
    <row r="19" spans="1:16" x14ac:dyDescent="0.3">
      <c r="L19" s="19" t="s">
        <v>1029</v>
      </c>
      <c r="M19" s="20">
        <v>51</v>
      </c>
      <c r="N19" s="20">
        <v>59</v>
      </c>
      <c r="O19" s="20">
        <v>43</v>
      </c>
      <c r="P19" s="20">
        <v>57</v>
      </c>
    </row>
    <row r="20" spans="1:16" ht="17.399999999999999" x14ac:dyDescent="0.35">
      <c r="A20" s="32" t="s">
        <v>1064</v>
      </c>
      <c r="B20" s="34"/>
      <c r="C20" s="34"/>
    </row>
    <row r="21" spans="1:16" x14ac:dyDescent="0.3">
      <c r="A21" s="8" t="s">
        <v>1037</v>
      </c>
      <c r="B21" s="8" t="s">
        <v>1030</v>
      </c>
    </row>
    <row r="22" spans="1:16" x14ac:dyDescent="0.3">
      <c r="A22" s="8" t="s">
        <v>1028</v>
      </c>
      <c r="B22" t="s">
        <v>16</v>
      </c>
      <c r="C22" t="s">
        <v>24</v>
      </c>
      <c r="D22" t="s">
        <v>12</v>
      </c>
      <c r="E22" t="s">
        <v>1029</v>
      </c>
      <c r="L22" s="10" t="s">
        <v>1028</v>
      </c>
      <c r="M22" s="10" t="s">
        <v>1041</v>
      </c>
      <c r="N22" s="10" t="s">
        <v>1040</v>
      </c>
      <c r="O22" s="10" t="s">
        <v>1039</v>
      </c>
      <c r="P22" s="10" t="s">
        <v>1038</v>
      </c>
    </row>
    <row r="23" spans="1:16" x14ac:dyDescent="0.3">
      <c r="A23" s="9" t="s">
        <v>1021</v>
      </c>
      <c r="B23" s="26">
        <v>0.19391634980988592</v>
      </c>
      <c r="C23" s="26">
        <v>0.30418250950570341</v>
      </c>
      <c r="D23" s="26">
        <v>0.50190114068441061</v>
      </c>
      <c r="E23" s="26">
        <v>1</v>
      </c>
      <c r="L23" s="9" t="s">
        <v>1021</v>
      </c>
      <c r="M23">
        <v>263</v>
      </c>
      <c r="N23">
        <v>212</v>
      </c>
      <c r="O23">
        <v>212</v>
      </c>
      <c r="P23">
        <v>212</v>
      </c>
    </row>
    <row r="24" spans="1:16" x14ac:dyDescent="0.3">
      <c r="A24" s="9" t="s">
        <v>1024</v>
      </c>
      <c r="B24" s="26">
        <v>0.18396226415094338</v>
      </c>
      <c r="C24" s="26">
        <v>0.330188679245283</v>
      </c>
      <c r="D24" s="26">
        <v>0.48584905660377359</v>
      </c>
      <c r="E24" s="26">
        <v>1</v>
      </c>
      <c r="L24" s="9" t="s">
        <v>1024</v>
      </c>
      <c r="M24">
        <v>212</v>
      </c>
      <c r="N24">
        <v>173</v>
      </c>
      <c r="O24">
        <v>173</v>
      </c>
      <c r="P24">
        <v>173</v>
      </c>
    </row>
    <row r="25" spans="1:16" x14ac:dyDescent="0.3">
      <c r="A25" s="9" t="s">
        <v>1022</v>
      </c>
      <c r="B25" s="26">
        <v>0.19391634980988592</v>
      </c>
      <c r="C25" s="26">
        <v>0.26615969581749049</v>
      </c>
      <c r="D25" s="26">
        <v>0.53992395437262353</v>
      </c>
      <c r="E25" s="26">
        <v>1</v>
      </c>
      <c r="L25" s="9" t="s">
        <v>1022</v>
      </c>
      <c r="M25">
        <v>263</v>
      </c>
      <c r="N25">
        <v>212</v>
      </c>
      <c r="O25">
        <v>212</v>
      </c>
      <c r="P25">
        <v>212</v>
      </c>
    </row>
    <row r="26" spans="1:16" x14ac:dyDescent="0.3">
      <c r="A26" s="9" t="s">
        <v>1023</v>
      </c>
      <c r="B26" s="26">
        <v>0.17938931297709923</v>
      </c>
      <c r="C26" s="26">
        <v>0.31679389312977096</v>
      </c>
      <c r="D26" s="26">
        <v>0.50381679389312972</v>
      </c>
      <c r="E26" s="26">
        <v>1</v>
      </c>
      <c r="L26" s="9" t="s">
        <v>1023</v>
      </c>
      <c r="M26">
        <v>262</v>
      </c>
      <c r="N26">
        <v>215</v>
      </c>
      <c r="O26">
        <v>215</v>
      </c>
      <c r="P26">
        <v>215</v>
      </c>
    </row>
    <row r="27" spans="1:16" x14ac:dyDescent="0.3">
      <c r="A27" s="9" t="s">
        <v>1029</v>
      </c>
      <c r="B27" s="26">
        <v>0.188</v>
      </c>
      <c r="C27" s="26">
        <v>0.30299999999999999</v>
      </c>
      <c r="D27" s="26">
        <v>0.50900000000000001</v>
      </c>
      <c r="E27" s="26">
        <v>1</v>
      </c>
    </row>
    <row r="28" spans="1:16" x14ac:dyDescent="0.3">
      <c r="A28" s="9"/>
      <c r="B28" s="26"/>
      <c r="C28" s="26"/>
      <c r="D28" s="26"/>
      <c r="E28" s="26"/>
    </row>
    <row r="29" spans="1:16" ht="17.399999999999999" x14ac:dyDescent="0.35">
      <c r="A29" s="32" t="s">
        <v>1066</v>
      </c>
      <c r="B29" s="34"/>
      <c r="C29" s="34"/>
    </row>
    <row r="30" spans="1:16" x14ac:dyDescent="0.3">
      <c r="L30" s="10" t="s">
        <v>1028</v>
      </c>
      <c r="M30" s="10" t="s">
        <v>1041</v>
      </c>
    </row>
    <row r="31" spans="1:16" x14ac:dyDescent="0.3">
      <c r="A31" s="8" t="s">
        <v>1065</v>
      </c>
      <c r="B31" s="8" t="s">
        <v>1030</v>
      </c>
      <c r="L31" s="9" t="s">
        <v>1021</v>
      </c>
      <c r="M31">
        <v>263</v>
      </c>
    </row>
    <row r="32" spans="1:16" x14ac:dyDescent="0.3">
      <c r="A32" s="8" t="s">
        <v>1028</v>
      </c>
      <c r="B32" t="s">
        <v>1048</v>
      </c>
      <c r="C32" t="s">
        <v>1049</v>
      </c>
      <c r="D32" t="s">
        <v>1050</v>
      </c>
      <c r="E32" t="s">
        <v>1029</v>
      </c>
      <c r="L32" s="9" t="s">
        <v>1024</v>
      </c>
      <c r="M32">
        <v>212</v>
      </c>
    </row>
    <row r="33" spans="1:16" x14ac:dyDescent="0.3">
      <c r="A33" s="9" t="s">
        <v>1021</v>
      </c>
      <c r="B33" s="26">
        <v>0.70157068062827221</v>
      </c>
      <c r="C33" s="26">
        <v>0.17801047120418848</v>
      </c>
      <c r="D33" s="26">
        <v>0.12041884816753927</v>
      </c>
      <c r="E33" s="26">
        <v>1</v>
      </c>
      <c r="L33" s="9" t="s">
        <v>1022</v>
      </c>
      <c r="M33">
        <v>263</v>
      </c>
    </row>
    <row r="34" spans="1:16" x14ac:dyDescent="0.3">
      <c r="A34" s="9" t="s">
        <v>1024</v>
      </c>
      <c r="B34" s="26">
        <v>0.6470588235294118</v>
      </c>
      <c r="C34" s="26">
        <v>0.16993464052287582</v>
      </c>
      <c r="D34" s="26">
        <v>0.18300653594771241</v>
      </c>
      <c r="E34" s="26">
        <v>1</v>
      </c>
      <c r="L34" s="9" t="s">
        <v>1023</v>
      </c>
      <c r="M34">
        <v>262</v>
      </c>
    </row>
    <row r="35" spans="1:16" x14ac:dyDescent="0.3">
      <c r="A35" s="9" t="s">
        <v>1022</v>
      </c>
      <c r="B35" s="26">
        <v>0.66129032258064513</v>
      </c>
      <c r="C35" s="26">
        <v>0.17741935483870969</v>
      </c>
      <c r="D35" s="26">
        <v>0.16129032258064516</v>
      </c>
      <c r="E35" s="26">
        <v>1</v>
      </c>
    </row>
    <row r="36" spans="1:16" x14ac:dyDescent="0.3">
      <c r="A36" s="9" t="s">
        <v>1023</v>
      </c>
      <c r="B36" s="26">
        <v>0.69346733668341709</v>
      </c>
      <c r="C36" s="26">
        <v>0.19095477386934673</v>
      </c>
      <c r="D36" s="26">
        <v>0.11557788944723618</v>
      </c>
      <c r="E36" s="26">
        <v>1</v>
      </c>
    </row>
    <row r="37" spans="1:16" x14ac:dyDescent="0.3">
      <c r="A37" s="9" t="s">
        <v>1029</v>
      </c>
      <c r="B37" s="26">
        <v>0.67764060356652944</v>
      </c>
      <c r="C37" s="26">
        <v>0.17969821673525377</v>
      </c>
      <c r="D37" s="26">
        <v>0.14266117969821673</v>
      </c>
      <c r="E37" s="26">
        <v>1</v>
      </c>
      <c r="L37" s="10" t="s">
        <v>1028</v>
      </c>
      <c r="M37" s="10" t="s">
        <v>1048</v>
      </c>
      <c r="N37" s="10" t="s">
        <v>1049</v>
      </c>
      <c r="O37" s="10" t="s">
        <v>1050</v>
      </c>
      <c r="P37" s="10"/>
    </row>
    <row r="38" spans="1:16" x14ac:dyDescent="0.3">
      <c r="L38" s="19" t="s">
        <v>1029</v>
      </c>
      <c r="M38" s="22">
        <v>1583</v>
      </c>
      <c r="N38" s="22">
        <v>979</v>
      </c>
      <c r="O38" s="22">
        <v>974</v>
      </c>
      <c r="P38" s="22"/>
    </row>
    <row r="39" spans="1:16" x14ac:dyDescent="0.3">
      <c r="A39" s="8" t="s">
        <v>1047</v>
      </c>
      <c r="B39" s="8" t="s">
        <v>1030</v>
      </c>
    </row>
    <row r="40" spans="1:16" x14ac:dyDescent="0.3">
      <c r="A40" s="8" t="s">
        <v>1028</v>
      </c>
      <c r="B40" t="s">
        <v>1048</v>
      </c>
      <c r="C40" t="s">
        <v>1049</v>
      </c>
      <c r="D40" t="s">
        <v>1050</v>
      </c>
      <c r="E40" t="s">
        <v>1029</v>
      </c>
      <c r="L40" s="37" t="s">
        <v>1028</v>
      </c>
      <c r="M40" s="37" t="s">
        <v>1041</v>
      </c>
      <c r="N40" s="37"/>
      <c r="O40" s="37"/>
      <c r="P40" s="37"/>
    </row>
    <row r="41" spans="1:16" x14ac:dyDescent="0.3">
      <c r="A41" s="9" t="s">
        <v>1021</v>
      </c>
      <c r="B41">
        <v>419</v>
      </c>
      <c r="C41">
        <v>258</v>
      </c>
      <c r="D41">
        <v>215</v>
      </c>
      <c r="E41">
        <v>892</v>
      </c>
      <c r="L41" s="9" t="s">
        <v>1021</v>
      </c>
      <c r="M41">
        <v>263</v>
      </c>
    </row>
    <row r="42" spans="1:16" x14ac:dyDescent="0.3">
      <c r="A42" s="9" t="s">
        <v>1024</v>
      </c>
      <c r="B42">
        <v>313</v>
      </c>
      <c r="C42">
        <v>192</v>
      </c>
      <c r="D42">
        <v>262</v>
      </c>
      <c r="E42">
        <v>767</v>
      </c>
      <c r="L42" s="9" t="s">
        <v>1022</v>
      </c>
      <c r="M42">
        <v>263</v>
      </c>
    </row>
    <row r="43" spans="1:16" x14ac:dyDescent="0.3">
      <c r="A43" s="9" t="s">
        <v>1022</v>
      </c>
      <c r="B43">
        <v>385</v>
      </c>
      <c r="C43">
        <v>245</v>
      </c>
      <c r="D43">
        <v>281</v>
      </c>
      <c r="E43">
        <v>911</v>
      </c>
      <c r="L43" s="9" t="s">
        <v>1023</v>
      </c>
      <c r="M43">
        <v>262</v>
      </c>
    </row>
    <row r="44" spans="1:16" x14ac:dyDescent="0.3">
      <c r="A44" s="9" t="s">
        <v>1023</v>
      </c>
      <c r="B44">
        <v>466</v>
      </c>
      <c r="C44">
        <v>284</v>
      </c>
      <c r="D44">
        <v>216</v>
      </c>
      <c r="E44">
        <v>966</v>
      </c>
      <c r="L44" s="9" t="s">
        <v>1024</v>
      </c>
      <c r="M44">
        <v>212</v>
      </c>
    </row>
    <row r="45" spans="1:16" x14ac:dyDescent="0.3">
      <c r="A45" s="9" t="s">
        <v>1029</v>
      </c>
      <c r="B45">
        <v>1583</v>
      </c>
      <c r="C45">
        <v>979</v>
      </c>
      <c r="D45">
        <v>974</v>
      </c>
      <c r="E45">
        <v>3536</v>
      </c>
      <c r="H45" s="21"/>
      <c r="I45" s="22"/>
      <c r="L45" s="9"/>
    </row>
    <row r="46" spans="1:16" x14ac:dyDescent="0.3">
      <c r="L46" s="9"/>
    </row>
    <row r="47" spans="1:16" ht="17.399999999999999" x14ac:dyDescent="0.35">
      <c r="A47" s="32" t="s">
        <v>1067</v>
      </c>
      <c r="B47" s="33"/>
      <c r="C47" s="33"/>
      <c r="M47" s="22"/>
      <c r="N47" s="22"/>
      <c r="O47" s="22"/>
      <c r="P47" s="22"/>
    </row>
    <row r="49" spans="1:3" x14ac:dyDescent="0.3">
      <c r="A49" s="8" t="s">
        <v>2</v>
      </c>
      <c r="B49" t="s">
        <v>24</v>
      </c>
    </row>
    <row r="51" spans="1:3" x14ac:dyDescent="0.3">
      <c r="A51" s="8" t="s">
        <v>1</v>
      </c>
      <c r="B51" s="8" t="s">
        <v>3</v>
      </c>
      <c r="C51" t="s">
        <v>1037</v>
      </c>
    </row>
    <row r="52" spans="1:3" x14ac:dyDescent="0.3">
      <c r="A52" t="s">
        <v>1021</v>
      </c>
      <c r="C52">
        <v>80</v>
      </c>
    </row>
    <row r="53" spans="1:3" x14ac:dyDescent="0.3">
      <c r="A53" t="s">
        <v>1024</v>
      </c>
      <c r="C53">
        <v>70</v>
      </c>
    </row>
    <row r="54" spans="1:3" x14ac:dyDescent="0.3">
      <c r="A54" t="s">
        <v>1022</v>
      </c>
      <c r="C54">
        <v>70</v>
      </c>
    </row>
    <row r="55" spans="1:3" x14ac:dyDescent="0.3">
      <c r="A55" t="s">
        <v>1023</v>
      </c>
      <c r="C55">
        <v>83</v>
      </c>
    </row>
    <row r="56" spans="1:3" x14ac:dyDescent="0.3">
      <c r="A56" t="s">
        <v>1029</v>
      </c>
      <c r="C56">
        <v>303</v>
      </c>
    </row>
  </sheetData>
  <mergeCells count="6">
    <mergeCell ref="G1:I1"/>
    <mergeCell ref="A47:C47"/>
    <mergeCell ref="A11:C11"/>
    <mergeCell ref="A2:C2"/>
    <mergeCell ref="A20:C20"/>
    <mergeCell ref="A29:C2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2CF0D-538E-4DF2-B7FE-00C659762E08}">
  <sheetPr codeName="Sheet5"/>
  <dimension ref="A1:Y35"/>
  <sheetViews>
    <sheetView zoomScale="81" zoomScaleNormal="81" workbookViewId="0">
      <selection activeCell="AB51" sqref="AB51"/>
    </sheetView>
  </sheetViews>
  <sheetFormatPr defaultRowHeight="14.4" x14ac:dyDescent="0.3"/>
  <sheetData>
    <row r="1" spans="1:25" ht="18" x14ac:dyDescent="0.35">
      <c r="A1" s="24"/>
      <c r="B1" s="24"/>
      <c r="C1" s="24"/>
      <c r="D1" s="24"/>
      <c r="E1" s="24"/>
      <c r="F1" s="24"/>
      <c r="G1" s="24"/>
      <c r="H1" s="24"/>
      <c r="I1" s="24"/>
      <c r="J1" s="24"/>
      <c r="K1" s="35" t="s">
        <v>1055</v>
      </c>
      <c r="L1" s="36"/>
      <c r="M1" s="36"/>
      <c r="N1" s="36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</row>
    <row r="2" spans="1:25" x14ac:dyDescent="0.3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</row>
    <row r="3" spans="1:25" x14ac:dyDescent="0.3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</row>
    <row r="4" spans="1:25" x14ac:dyDescent="0.3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</row>
    <row r="5" spans="1:25" x14ac:dyDescent="0.3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</row>
    <row r="6" spans="1:25" x14ac:dyDescent="0.3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</row>
    <row r="7" spans="1:25" x14ac:dyDescent="0.3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</row>
    <row r="8" spans="1:25" x14ac:dyDescent="0.3">
      <c r="A8" s="24"/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</row>
    <row r="9" spans="1:25" x14ac:dyDescent="0.3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</row>
    <row r="10" spans="1:25" x14ac:dyDescent="0.3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</row>
    <row r="11" spans="1:25" x14ac:dyDescent="0.3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</row>
    <row r="12" spans="1:25" x14ac:dyDescent="0.3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</row>
    <row r="13" spans="1:25" x14ac:dyDescent="0.3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</row>
    <row r="14" spans="1:25" x14ac:dyDescent="0.3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</row>
    <row r="15" spans="1:25" x14ac:dyDescent="0.3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</row>
    <row r="16" spans="1:25" x14ac:dyDescent="0.3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</row>
    <row r="17" spans="1:25" x14ac:dyDescent="0.3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</row>
    <row r="18" spans="1:25" x14ac:dyDescent="0.3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</row>
    <row r="19" spans="1:25" x14ac:dyDescent="0.3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</row>
    <row r="20" spans="1:25" x14ac:dyDescent="0.3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</row>
    <row r="21" spans="1:25" x14ac:dyDescent="0.3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</row>
    <row r="22" spans="1:25" x14ac:dyDescent="0.3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</row>
    <row r="23" spans="1:25" x14ac:dyDescent="0.3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</row>
    <row r="24" spans="1:25" x14ac:dyDescent="0.3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</row>
    <row r="25" spans="1:25" x14ac:dyDescent="0.3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</row>
    <row r="26" spans="1:25" x14ac:dyDescent="0.3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</row>
    <row r="27" spans="1:25" x14ac:dyDescent="0.3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</row>
    <row r="28" spans="1:25" x14ac:dyDescent="0.3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</row>
    <row r="29" spans="1:25" x14ac:dyDescent="0.3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</row>
    <row r="30" spans="1:25" x14ac:dyDescent="0.3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</row>
    <row r="31" spans="1:25" x14ac:dyDescent="0.3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</row>
    <row r="32" spans="1:25" x14ac:dyDescent="0.3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</row>
    <row r="33" spans="1:25" x14ac:dyDescent="0.3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</row>
    <row r="34" spans="1:25" x14ac:dyDescent="0.3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</row>
    <row r="35" spans="1:25" x14ac:dyDescent="0.3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</row>
  </sheetData>
  <mergeCells count="1">
    <mergeCell ref="K1:N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Analysis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Umed Kumar</cp:lastModifiedBy>
  <dcterms:modified xsi:type="dcterms:W3CDTF">2025-11-01T15:02:38Z</dcterms:modified>
</cp:coreProperties>
</file>